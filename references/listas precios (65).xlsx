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e977dd1355c6e8/Documentos/"/>
    </mc:Choice>
  </mc:AlternateContent>
  <xr:revisionPtr revIDLastSave="0" documentId="8_{31A51C33-CB56-814D-84DC-89E6E932A02A}" xr6:coauthVersionLast="47" xr6:coauthVersionMax="47" xr10:uidLastSave="{00000000-0000-0000-0000-000000000000}"/>
  <bookViews>
    <workbookView xWindow="-120" yWindow="-120" windowWidth="20730" windowHeight="11160" tabRatio="496" xr2:uid="{9966A47D-81F8-4D7C-9BB9-8759C6926004}"/>
  </bookViews>
  <sheets>
    <sheet name="listas precios" sheetId="2" r:id="rId1"/>
    <sheet name="Hoja2" sheetId="4" r:id="rId2"/>
  </sheets>
  <definedNames>
    <definedName name="_xlnm._FilterDatabase" localSheetId="0" hidden="1">'listas precios'!$R$7:$S$8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2" l="1"/>
  <c r="P5" i="2"/>
</calcChain>
</file>

<file path=xl/sharedStrings.xml><?xml version="1.0" encoding="utf-8"?>
<sst xmlns="http://schemas.openxmlformats.org/spreadsheetml/2006/main" count="229" uniqueCount="203">
  <si>
    <t>ofertas solo efectivo. no aplica 10% los miercoles</t>
  </si>
  <si>
    <t>VACUNO</t>
  </si>
  <si>
    <t>EMBUTIDOS</t>
  </si>
  <si>
    <t>cerdo</t>
  </si>
  <si>
    <t>CERDO</t>
  </si>
  <si>
    <t xml:space="preserve">POLLO </t>
  </si>
  <si>
    <t>ACHURAS</t>
  </si>
  <si>
    <t xml:space="preserve">CONGELADOS BAJALA </t>
  </si>
  <si>
    <t>OFERTA EXCLUSICA ABONANDO EN EFECTIVO</t>
  </si>
  <si>
    <t>ESTO NO ES PARA REDES, ES SOLO PARA MANDARME A MI PARA REVENTA O COMERCIOS</t>
  </si>
  <si>
    <t>bola de lomo</t>
  </si>
  <si>
    <t xml:space="preserve">VACUNO </t>
  </si>
  <si>
    <t>POLLO</t>
  </si>
  <si>
    <t>x 10</t>
  </si>
  <si>
    <t>x 20</t>
  </si>
  <si>
    <t>cuadrada</t>
  </si>
  <si>
    <t>Bola de lomo</t>
  </si>
  <si>
    <t>Chorizo mezcla</t>
  </si>
  <si>
    <t>Pechito</t>
  </si>
  <si>
    <t>Pata muslo</t>
  </si>
  <si>
    <t>Chinchulin</t>
  </si>
  <si>
    <t>RICOSURIOS</t>
  </si>
  <si>
    <t>EL KG</t>
  </si>
  <si>
    <t>PATA</t>
  </si>
  <si>
    <t xml:space="preserve">roast beef </t>
  </si>
  <si>
    <t>Cuadrada</t>
  </si>
  <si>
    <t>Chorio puro cerdo</t>
  </si>
  <si>
    <t>carre</t>
  </si>
  <si>
    <t>pata x3</t>
  </si>
  <si>
    <t>Riñon</t>
  </si>
  <si>
    <t>NUGGETS POLLO TRES AROYOS</t>
  </si>
  <si>
    <t>MOCHO</t>
  </si>
  <si>
    <t>SUPREMA</t>
  </si>
  <si>
    <t>picada 2 kg</t>
  </si>
  <si>
    <t>Nalga</t>
  </si>
  <si>
    <t>Chorizo bonbon</t>
  </si>
  <si>
    <t>nalga</t>
  </si>
  <si>
    <t>mila 2 kg</t>
  </si>
  <si>
    <t>Mondongo</t>
  </si>
  <si>
    <t>MEDALLON POLLO TRES AROYOS</t>
  </si>
  <si>
    <t>PECHO</t>
  </si>
  <si>
    <t>ALITA</t>
  </si>
  <si>
    <t>Peceto</t>
  </si>
  <si>
    <t>Salchicha parrillera</t>
  </si>
  <si>
    <t>peceto</t>
  </si>
  <si>
    <t>bondio</t>
  </si>
  <si>
    <t>Rabo</t>
  </si>
  <si>
    <t>MEDALLON QUEASO Y  BROCOLI TRES AROYOS</t>
  </si>
  <si>
    <t>Nalga Con tapa</t>
  </si>
  <si>
    <t>BIFE SIN LOMO</t>
  </si>
  <si>
    <t>MENUDO</t>
  </si>
  <si>
    <t>falda 2 kg</t>
  </si>
  <si>
    <t>Tapa de nalga</t>
  </si>
  <si>
    <t>Salchicha viena</t>
  </si>
  <si>
    <t>cuadril</t>
  </si>
  <si>
    <t>jamon</t>
  </si>
  <si>
    <t>alita</t>
  </si>
  <si>
    <t>Lengua</t>
  </si>
  <si>
    <t>PECHUGA CRISPY TRES AROYOS</t>
  </si>
  <si>
    <t>BIFE CON LOMO</t>
  </si>
  <si>
    <t>Colita de cuadril</t>
  </si>
  <si>
    <t>Morcilla rosca</t>
  </si>
  <si>
    <t>tapa nalga</t>
  </si>
  <si>
    <t>paleta</t>
  </si>
  <si>
    <t>alitas x 3kg</t>
  </si>
  <si>
    <t>Molleja</t>
  </si>
  <si>
    <t>BOCADITO TRES AROYOS</t>
  </si>
  <si>
    <t>Cuadril con colita</t>
  </si>
  <si>
    <t>costillar completo</t>
  </si>
  <si>
    <t>Cuadril</t>
  </si>
  <si>
    <t>Morcilla vasca</t>
  </si>
  <si>
    <t>tortuguita</t>
  </si>
  <si>
    <t>matambrito</t>
  </si>
  <si>
    <t>Tripa gorda</t>
  </si>
  <si>
    <t>PARRILLERO</t>
  </si>
  <si>
    <t>bifes surtidos 1 kg</t>
  </si>
  <si>
    <t xml:space="preserve">Asado  </t>
  </si>
  <si>
    <t>Morcilla bonbon</t>
  </si>
  <si>
    <t>osobuco</t>
  </si>
  <si>
    <t>solomillo</t>
  </si>
  <si>
    <t>Rueda</t>
  </si>
  <si>
    <t>NUGGET CROCANTE GRANGYS</t>
  </si>
  <si>
    <t>CERDO x pieza</t>
  </si>
  <si>
    <t>SOLO EFECTIVO</t>
  </si>
  <si>
    <t>Vacio</t>
  </si>
  <si>
    <t>churrasco</t>
  </si>
  <si>
    <t>pollo</t>
  </si>
  <si>
    <t>Higado</t>
  </si>
  <si>
    <t>Paleta</t>
  </si>
  <si>
    <t>pechito y carre</t>
  </si>
  <si>
    <t>llevando 1 pecho y 1 carre</t>
  </si>
  <si>
    <t>mila de cerdo 2 kg</t>
  </si>
  <si>
    <t>Matambre</t>
  </si>
  <si>
    <t xml:space="preserve">mila  </t>
  </si>
  <si>
    <t xml:space="preserve">suprema  </t>
  </si>
  <si>
    <t>seso</t>
  </si>
  <si>
    <t>MEDALLON POLLO GRANGYS</t>
  </si>
  <si>
    <t>Roast beef</t>
  </si>
  <si>
    <t>Bife angosto</t>
  </si>
  <si>
    <t xml:space="preserve">patita  </t>
  </si>
  <si>
    <t>suprema x2</t>
  </si>
  <si>
    <t>MEDALLON POLLO J Y Q GRANGYS</t>
  </si>
  <si>
    <t>bondiola</t>
  </si>
  <si>
    <t>mas de 2 unidades</t>
  </si>
  <si>
    <t>Bife ancho</t>
  </si>
  <si>
    <t>Huesitos</t>
  </si>
  <si>
    <t xml:space="preserve">  </t>
  </si>
  <si>
    <t>MEDALLON MERLUZA GRANGYS</t>
  </si>
  <si>
    <t>Bifes surtidos</t>
  </si>
  <si>
    <t>Patitas 2 kg</t>
  </si>
  <si>
    <t>menudo 1 kg</t>
  </si>
  <si>
    <t>BOCADITO ESPINACA GRANGYS</t>
  </si>
  <si>
    <t>HACE LA FOTO INDIVIDUAL DE LA VES PASADA</t>
  </si>
  <si>
    <t>Huesitos 2 kg</t>
  </si>
  <si>
    <t>memudo x 3kg</t>
  </si>
  <si>
    <t>PATITA GRANGYS</t>
  </si>
  <si>
    <t>supremas 2 kg oferton</t>
  </si>
  <si>
    <t>Lomo</t>
  </si>
  <si>
    <t>cabeza x kg</t>
  </si>
  <si>
    <t>$3000</t>
  </si>
  <si>
    <t>PATITA J Y Q GRANGYS</t>
  </si>
  <si>
    <t>por ahora no hay</t>
  </si>
  <si>
    <r>
      <rPr>
        <b/>
        <sz val="10"/>
        <rFont val="Calibri"/>
        <family val="2"/>
        <scheme val="minor"/>
      </rPr>
      <t>CERDO</t>
    </r>
    <r>
      <rPr>
        <sz val="10"/>
        <rFont val="Calibri"/>
        <family val="2"/>
        <scheme val="minor"/>
      </rPr>
      <t xml:space="preserve"> POR PIEZA </t>
    </r>
  </si>
  <si>
    <t>PATITA ESP Y QUESO GRANGYS</t>
  </si>
  <si>
    <t>CAJON DE POLLO</t>
  </si>
  <si>
    <t>pollo x kg</t>
  </si>
  <si>
    <t>mila</t>
  </si>
  <si>
    <t>FORMITAS MARINAS GRANGYS</t>
  </si>
  <si>
    <t xml:space="preserve">alita 3 kg </t>
  </si>
  <si>
    <t>mila x2</t>
  </si>
  <si>
    <t>BASTON MUZZRELA MC CAIN</t>
  </si>
  <si>
    <t>LLEVANDO POR PIEZA ENTERA AHORRA UN 10%</t>
  </si>
  <si>
    <t>llevando desde 10 kg  ahorra un 10%</t>
  </si>
  <si>
    <t>mila de pollo 2 kg</t>
  </si>
  <si>
    <t>Carre</t>
  </si>
  <si>
    <t>SMILE  MC CAIN</t>
  </si>
  <si>
    <t>cajon de pollo</t>
  </si>
  <si>
    <t>Osobuco</t>
  </si>
  <si>
    <t>NOISETTE MC CAIN</t>
  </si>
  <si>
    <t>Osobuco 2 kg</t>
  </si>
  <si>
    <t>Jamon</t>
  </si>
  <si>
    <t>BASTON MC CAIN</t>
  </si>
  <si>
    <t>individuales</t>
  </si>
  <si>
    <t>Chiquizuel</t>
  </si>
  <si>
    <t>Espinazo</t>
  </si>
  <si>
    <t xml:space="preserve">pata muslo 3 kg </t>
  </si>
  <si>
    <t>Espinazo 2 kg</t>
  </si>
  <si>
    <t xml:space="preserve">Picada </t>
  </si>
  <si>
    <t>Picada 2kg</t>
  </si>
  <si>
    <t>Cartilago</t>
  </si>
  <si>
    <t>Falda</t>
  </si>
  <si>
    <t>Falda 2 kg</t>
  </si>
  <si>
    <t>Tortuguita</t>
  </si>
  <si>
    <t>Palomita</t>
  </si>
  <si>
    <t>Tapa de asado</t>
  </si>
  <si>
    <t>Entraña</t>
  </si>
  <si>
    <t>Arañita</t>
  </si>
  <si>
    <t>Osobuco esp.</t>
  </si>
  <si>
    <t>Osobuco esp. 2 kg</t>
  </si>
  <si>
    <t>ALICANTE</t>
  </si>
  <si>
    <t>polvo carne</t>
  </si>
  <si>
    <t>polvo gallina</t>
  </si>
  <si>
    <t>polvo verdura</t>
  </si>
  <si>
    <t>polvo hierbas</t>
  </si>
  <si>
    <t>polvo panceta</t>
  </si>
  <si>
    <t xml:space="preserve">polvo albahaca </t>
  </si>
  <si>
    <t>polvo champ</t>
  </si>
  <si>
    <t>polvo verdeo</t>
  </si>
  <si>
    <t>polvo 4 quesos</t>
  </si>
  <si>
    <t>comino</t>
  </si>
  <si>
    <t>cond carne</t>
  </si>
  <si>
    <t>tucos y guisos</t>
  </si>
  <si>
    <t>cond milanesas</t>
  </si>
  <si>
    <t xml:space="preserve">bolsas horno </t>
  </si>
  <si>
    <t>mix ensaladas</t>
  </si>
  <si>
    <t>oregano</t>
  </si>
  <si>
    <t>provenzal</t>
  </si>
  <si>
    <t>semillas</t>
  </si>
  <si>
    <t>La victoria criolla</t>
  </si>
  <si>
    <t>Principe lujan</t>
  </si>
  <si>
    <t>valle verde</t>
  </si>
  <si>
    <t>berenjena ahumada</t>
  </si>
  <si>
    <t>tomate ahumado</t>
  </si>
  <si>
    <t>brennan</t>
  </si>
  <si>
    <t>mostaza tradi</t>
  </si>
  <si>
    <t>mostaza cerveza</t>
  </si>
  <si>
    <t>mostaza pimienta</t>
  </si>
  <si>
    <t>mostaza ahumada</t>
  </si>
  <si>
    <t>pack 1</t>
  </si>
  <si>
    <t>pack 2</t>
  </si>
  <si>
    <t>pack 3</t>
  </si>
  <si>
    <t>pack 4</t>
  </si>
  <si>
    <t>mostaza con miel</t>
  </si>
  <si>
    <t>tapa de asado</t>
  </si>
  <si>
    <t>bife de chorizo</t>
  </si>
  <si>
    <t xml:space="preserve">pata muslo 3 kg  </t>
  </si>
  <si>
    <t>supremas 2 kg</t>
  </si>
  <si>
    <t xml:space="preserve">matambre congelado </t>
  </si>
  <si>
    <t>espinazo 3 kg</t>
  </si>
  <si>
    <t>bife de chorizo/ojo de bife</t>
  </si>
  <si>
    <t>tapa asado y roast beef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</si>
</sst>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&quot;$&quot;\ #,##0.00;[Red]\-&quot;$&quot;\ #,##0.00"/>
    <numFmt numFmtId="165" formatCode="[$$-2C0A]\ #,##0.00"/>
    <numFmt numFmtId="166" formatCode="[$$-2C0A]\ #,##0.0"/>
    <numFmt numFmtId="167" formatCode="[$$-2C0A]\ #,##0"/>
    <numFmt numFmtId="168" formatCode="&quot;$&quot;\ #,##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sz val="22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24"/>
      <name val="Calibri"/>
      <family val="2"/>
      <scheme val="minor"/>
    </font>
    <font>
      <sz val="9"/>
      <color rgb="FF000000"/>
      <name val="Calibri"/>
    </font>
    <font>
      <sz val="10"/>
      <color rgb="FF000000"/>
      <name val="Calibri"/>
      <family val="2"/>
      <scheme val="minor"/>
    </font>
    <font>
      <b/>
      <sz val="16"/>
      <name val="Calibri"/>
      <family val="2"/>
      <scheme val="minor"/>
    </font>
    <font>
      <sz val="2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color rgb="FF444444"/>
      <name val="Calibri"/>
      <family val="2"/>
      <charset val="1"/>
    </font>
    <font>
      <sz val="8"/>
      <color rgb="FF444444"/>
      <name val="Calibri"/>
      <charset val="1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  <font>
      <sz val="10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6">
    <xf numFmtId="0" fontId="0" fillId="0" borderId="0" xfId="0"/>
    <xf numFmtId="0" fontId="0" fillId="2" borderId="0" xfId="0" applyFill="1"/>
    <xf numFmtId="0" fontId="4" fillId="2" borderId="1" xfId="0" applyFont="1" applyFill="1" applyBorder="1"/>
    <xf numFmtId="165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/>
    <xf numFmtId="165" fontId="4" fillId="2" borderId="1" xfId="0" applyNumberFormat="1" applyFont="1" applyFill="1" applyBorder="1" applyAlignment="1">
      <alignment wrapText="1"/>
    </xf>
    <xf numFmtId="0" fontId="0" fillId="2" borderId="2" xfId="0" applyFill="1" applyBorder="1"/>
    <xf numFmtId="165" fontId="4" fillId="2" borderId="3" xfId="0" applyNumberFormat="1" applyFont="1" applyFill="1" applyBorder="1" applyAlignment="1">
      <alignment horizontal="center" vertical="center"/>
    </xf>
    <xf numFmtId="0" fontId="4" fillId="2" borderId="0" xfId="0" applyFont="1" applyFill="1"/>
    <xf numFmtId="165" fontId="4" fillId="2" borderId="0" xfId="0" applyNumberFormat="1" applyFont="1" applyFill="1" applyAlignment="1">
      <alignment horizontal="center" vertical="center"/>
    </xf>
    <xf numFmtId="0" fontId="4" fillId="2" borderId="3" xfId="0" applyFont="1" applyFill="1" applyBorder="1"/>
    <xf numFmtId="0" fontId="4" fillId="2" borderId="2" xfId="0" applyFont="1" applyFill="1" applyBorder="1"/>
    <xf numFmtId="165" fontId="4" fillId="2" borderId="2" xfId="0" applyNumberFormat="1" applyFont="1" applyFill="1" applyBorder="1" applyAlignment="1">
      <alignment wrapText="1"/>
    </xf>
    <xf numFmtId="165" fontId="4" fillId="2" borderId="3" xfId="0" applyNumberFormat="1" applyFont="1" applyFill="1" applyBorder="1" applyAlignment="1">
      <alignment wrapText="1"/>
    </xf>
    <xf numFmtId="165" fontId="4" fillId="2" borderId="5" xfId="0" applyNumberFormat="1" applyFont="1" applyFill="1" applyBorder="1" applyAlignment="1">
      <alignment horizontal="center" vertical="center"/>
    </xf>
    <xf numFmtId="0" fontId="4" fillId="2" borderId="5" xfId="0" applyFont="1" applyFill="1" applyBorder="1"/>
    <xf numFmtId="165" fontId="4" fillId="2" borderId="5" xfId="0" applyNumberFormat="1" applyFont="1" applyFill="1" applyBorder="1" applyAlignment="1">
      <alignment wrapText="1"/>
    </xf>
    <xf numFmtId="0" fontId="5" fillId="2" borderId="2" xfId="0" applyFont="1" applyFill="1" applyBorder="1"/>
    <xf numFmtId="0" fontId="11" fillId="2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4" fillId="2" borderId="7" xfId="0" applyFont="1" applyFill="1" applyBorder="1"/>
    <xf numFmtId="0" fontId="5" fillId="2" borderId="3" xfId="0" applyFont="1" applyFill="1" applyBorder="1"/>
    <xf numFmtId="0" fontId="0" fillId="2" borderId="10" xfId="0" applyFill="1" applyBorder="1"/>
    <xf numFmtId="0" fontId="8" fillId="2" borderId="1" xfId="0" applyFont="1" applyFill="1" applyBorder="1"/>
    <xf numFmtId="0" fontId="18" fillId="0" borderId="0" xfId="0" applyFont="1"/>
    <xf numFmtId="0" fontId="18" fillId="0" borderId="0" xfId="0" applyNumberFormat="1" applyFont="1"/>
    <xf numFmtId="0" fontId="0" fillId="2" borderId="1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19" fillId="2" borderId="10" xfId="0" applyFont="1" applyFill="1" applyBorder="1"/>
    <xf numFmtId="0" fontId="4" fillId="2" borderId="0" xfId="0" applyFont="1" applyFill="1" applyBorder="1"/>
    <xf numFmtId="0" fontId="7" fillId="2" borderId="0" xfId="0" applyFont="1" applyFill="1" applyBorder="1"/>
    <xf numFmtId="0" fontId="0" fillId="2" borderId="0" xfId="0" applyFill="1" applyBorder="1"/>
    <xf numFmtId="0" fontId="0" fillId="0" borderId="0" xfId="0" applyBorder="1"/>
    <xf numFmtId="0" fontId="8" fillId="2" borderId="5" xfId="0" applyFont="1" applyFill="1" applyBorder="1"/>
    <xf numFmtId="0" fontId="19" fillId="2" borderId="10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167" fontId="4" fillId="2" borderId="5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168" fontId="0" fillId="0" borderId="0" xfId="0" applyNumberFormat="1"/>
    <xf numFmtId="0" fontId="0" fillId="2" borderId="16" xfId="0" applyFill="1" applyBorder="1"/>
    <xf numFmtId="0" fontId="0" fillId="2" borderId="0" xfId="0" applyFill="1" applyAlignment="1">
      <alignment wrapText="1"/>
    </xf>
    <xf numFmtId="167" fontId="0" fillId="2" borderId="0" xfId="0" applyNumberFormat="1" applyFill="1" applyBorder="1"/>
    <xf numFmtId="164" fontId="0" fillId="2" borderId="0" xfId="0" applyNumberFormat="1" applyFill="1" applyBorder="1"/>
    <xf numFmtId="0" fontId="5" fillId="2" borderId="5" xfId="0" applyFont="1" applyFill="1" applyBorder="1"/>
    <xf numFmtId="0" fontId="0" fillId="2" borderId="0" xfId="0" applyFill="1" applyBorder="1" applyAlignment="1">
      <alignment wrapText="1"/>
    </xf>
    <xf numFmtId="0" fontId="4" fillId="2" borderId="15" xfId="0" applyFont="1" applyFill="1" applyBorder="1"/>
    <xf numFmtId="0" fontId="11" fillId="2" borderId="5" xfId="0" applyFont="1" applyFill="1" applyBorder="1"/>
    <xf numFmtId="0" fontId="11" fillId="2" borderId="31" xfId="0" applyFont="1" applyFill="1" applyBorder="1" applyAlignment="1">
      <alignment horizontal="center" vertical="center"/>
    </xf>
    <xf numFmtId="0" fontId="17" fillId="2" borderId="2" xfId="0" applyFont="1" applyFill="1" applyBorder="1"/>
    <xf numFmtId="165" fontId="4" fillId="2" borderId="32" xfId="0" applyNumberFormat="1" applyFont="1" applyFill="1" applyBorder="1" applyAlignment="1">
      <alignment horizontal="center" vertical="center"/>
    </xf>
    <xf numFmtId="165" fontId="4" fillId="2" borderId="6" xfId="0" applyNumberFormat="1" applyFont="1" applyFill="1" applyBorder="1" applyAlignment="1">
      <alignment horizontal="center" vertical="center"/>
    </xf>
    <xf numFmtId="0" fontId="4" fillId="2" borderId="33" xfId="0" applyFont="1" applyFill="1" applyBorder="1"/>
    <xf numFmtId="165" fontId="4" fillId="2" borderId="2" xfId="0" applyNumberFormat="1" applyFont="1" applyFill="1" applyBorder="1" applyAlignment="1">
      <alignment horizontal="center" vertical="center"/>
    </xf>
    <xf numFmtId="165" fontId="4" fillId="2" borderId="26" xfId="0" applyNumberFormat="1" applyFont="1" applyFill="1" applyBorder="1" applyAlignment="1">
      <alignment horizontal="center" vertical="center"/>
    </xf>
    <xf numFmtId="167" fontId="4" fillId="2" borderId="20" xfId="0" applyNumberFormat="1" applyFont="1" applyFill="1" applyBorder="1" applyAlignment="1">
      <alignment horizontal="center" vertical="center"/>
    </xf>
    <xf numFmtId="167" fontId="4" fillId="2" borderId="28" xfId="0" applyNumberFormat="1" applyFont="1" applyFill="1" applyBorder="1" applyAlignment="1">
      <alignment horizontal="center" vertical="center"/>
    </xf>
    <xf numFmtId="165" fontId="4" fillId="2" borderId="22" xfId="0" applyNumberFormat="1" applyFont="1" applyFill="1" applyBorder="1" applyAlignment="1">
      <alignment horizontal="center" vertical="center"/>
    </xf>
    <xf numFmtId="165" fontId="4" fillId="2" borderId="24" xfId="0" applyNumberFormat="1" applyFont="1" applyFill="1" applyBorder="1" applyAlignment="1">
      <alignment horizontal="center" vertical="center"/>
    </xf>
    <xf numFmtId="0" fontId="8" fillId="2" borderId="0" xfId="0" applyFont="1" applyFill="1" applyBorder="1"/>
    <xf numFmtId="165" fontId="4" fillId="2" borderId="0" xfId="0" applyNumberFormat="1" applyFont="1" applyFill="1" applyBorder="1" applyAlignment="1">
      <alignment horizontal="center" vertical="center"/>
    </xf>
    <xf numFmtId="0" fontId="8" fillId="2" borderId="21" xfId="0" applyFont="1" applyFill="1" applyBorder="1"/>
    <xf numFmtId="0" fontId="8" fillId="2" borderId="23" xfId="0" applyFont="1" applyFill="1" applyBorder="1"/>
    <xf numFmtId="0" fontId="8" fillId="2" borderId="25" xfId="0" applyFont="1" applyFill="1" applyBorder="1"/>
    <xf numFmtId="0" fontId="8" fillId="2" borderId="19" xfId="0" applyFont="1" applyFill="1" applyBorder="1"/>
    <xf numFmtId="0" fontId="8" fillId="2" borderId="27" xfId="0" applyFont="1" applyFill="1" applyBorder="1"/>
    <xf numFmtId="0" fontId="19" fillId="2" borderId="0" xfId="0" applyFont="1" applyFill="1" applyBorder="1"/>
    <xf numFmtId="0" fontId="19" fillId="2" borderId="0" xfId="0" applyFont="1" applyFill="1"/>
    <xf numFmtId="0" fontId="19" fillId="0" borderId="0" xfId="0" applyFont="1"/>
    <xf numFmtId="167" fontId="4" fillId="2" borderId="0" xfId="0" applyNumberFormat="1" applyFont="1" applyFill="1" applyBorder="1" applyAlignment="1">
      <alignment horizontal="center" vertical="center"/>
    </xf>
    <xf numFmtId="167" fontId="0" fillId="2" borderId="2" xfId="0" applyNumberFormat="1" applyFill="1" applyBorder="1"/>
    <xf numFmtId="0" fontId="0" fillId="2" borderId="4" xfId="0" applyFill="1" applyBorder="1"/>
    <xf numFmtId="167" fontId="5" fillId="2" borderId="5" xfId="0" applyNumberFormat="1" applyFont="1" applyFill="1" applyBorder="1" applyAlignment="1">
      <alignment horizontal="center" vertical="center"/>
    </xf>
    <xf numFmtId="167" fontId="5" fillId="2" borderId="3" xfId="0" applyNumberFormat="1" applyFont="1" applyFill="1" applyBorder="1" applyAlignment="1">
      <alignment horizontal="center" vertical="center"/>
    </xf>
    <xf numFmtId="167" fontId="5" fillId="2" borderId="2" xfId="0" applyNumberFormat="1" applyFont="1" applyFill="1" applyBorder="1" applyAlignment="1">
      <alignment horizontal="center" vertical="center"/>
    </xf>
    <xf numFmtId="167" fontId="4" fillId="2" borderId="2" xfId="0" applyNumberFormat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 vertical="center"/>
    </xf>
    <xf numFmtId="168" fontId="0" fillId="2" borderId="2" xfId="0" applyNumberFormat="1" applyFill="1" applyBorder="1"/>
    <xf numFmtId="167" fontId="4" fillId="2" borderId="6" xfId="0" applyNumberFormat="1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wrapText="1"/>
    </xf>
    <xf numFmtId="166" fontId="4" fillId="3" borderId="8" xfId="0" applyNumberFormat="1" applyFont="1" applyFill="1" applyBorder="1" applyAlignment="1">
      <alignment horizontal="center" vertical="center"/>
    </xf>
    <xf numFmtId="166" fontId="4" fillId="3" borderId="32" xfId="0" applyNumberFormat="1" applyFont="1" applyFill="1" applyBorder="1" applyAlignment="1">
      <alignment horizontal="center" vertical="center"/>
    </xf>
    <xf numFmtId="165" fontId="4" fillId="3" borderId="32" xfId="0" applyNumberFormat="1" applyFont="1" applyFill="1" applyBorder="1" applyAlignment="1">
      <alignment horizontal="center" vertical="center"/>
    </xf>
    <xf numFmtId="0" fontId="8" fillId="2" borderId="29" xfId="0" applyFont="1" applyFill="1" applyBorder="1"/>
    <xf numFmtId="0" fontId="0" fillId="2" borderId="2" xfId="0" applyFill="1" applyBorder="1" applyAlignment="1">
      <alignment vertical="center"/>
    </xf>
    <xf numFmtId="167" fontId="4" fillId="2" borderId="3" xfId="0" applyNumberFormat="1" applyFont="1" applyFill="1" applyBorder="1" applyAlignment="1">
      <alignment horizontal="center" vertical="center"/>
    </xf>
    <xf numFmtId="168" fontId="0" fillId="2" borderId="0" xfId="0" applyNumberFormat="1" applyFill="1" applyBorder="1"/>
    <xf numFmtId="0" fontId="15" fillId="2" borderId="0" xfId="0" applyFont="1" applyFill="1" applyBorder="1" applyAlignment="1">
      <alignment horizontal="center"/>
    </xf>
    <xf numFmtId="0" fontId="0" fillId="2" borderId="19" xfId="0" applyFill="1" applyBorder="1"/>
    <xf numFmtId="0" fontId="0" fillId="2" borderId="27" xfId="0" applyFill="1" applyBorder="1"/>
    <xf numFmtId="0" fontId="0" fillId="2" borderId="17" xfId="0" applyFill="1" applyBorder="1"/>
    <xf numFmtId="0" fontId="19" fillId="2" borderId="20" xfId="0" applyFont="1" applyFill="1" applyBorder="1"/>
    <xf numFmtId="0" fontId="0" fillId="2" borderId="37" xfId="0" applyFill="1" applyBorder="1" applyAlignment="1">
      <alignment wrapText="1"/>
    </xf>
    <xf numFmtId="0" fontId="0" fillId="2" borderId="38" xfId="0" applyFill="1" applyBorder="1"/>
    <xf numFmtId="0" fontId="20" fillId="2" borderId="37" xfId="0" applyFont="1" applyFill="1" applyBorder="1" applyAlignment="1">
      <alignment wrapText="1"/>
    </xf>
    <xf numFmtId="0" fontId="20" fillId="2" borderId="38" xfId="0" applyFont="1" applyFill="1" applyBorder="1" applyAlignment="1">
      <alignment wrapText="1"/>
    </xf>
    <xf numFmtId="0" fontId="20" fillId="2" borderId="39" xfId="0" applyFont="1" applyFill="1" applyBorder="1" applyAlignment="1">
      <alignment wrapText="1"/>
    </xf>
    <xf numFmtId="0" fontId="20" fillId="2" borderId="40" xfId="0" applyFont="1" applyFill="1" applyBorder="1" applyAlignment="1">
      <alignment wrapText="1"/>
    </xf>
    <xf numFmtId="16" fontId="20" fillId="2" borderId="37" xfId="0" applyNumberFormat="1" applyFont="1" applyFill="1" applyBorder="1"/>
    <xf numFmtId="167" fontId="11" fillId="2" borderId="5" xfId="0" applyNumberFormat="1" applyFont="1" applyFill="1" applyBorder="1" applyAlignment="1">
      <alignment horizontal="center" vertical="center"/>
    </xf>
    <xf numFmtId="167" fontId="11" fillId="2" borderId="1" xfId="0" applyNumberFormat="1" applyFont="1" applyFill="1" applyBorder="1" applyAlignment="1">
      <alignment horizontal="center" vertical="center"/>
    </xf>
    <xf numFmtId="0" fontId="0" fillId="4" borderId="0" xfId="0" applyFill="1"/>
    <xf numFmtId="168" fontId="19" fillId="2" borderId="20" xfId="0" applyNumberFormat="1" applyFont="1" applyFill="1" applyBorder="1"/>
    <xf numFmtId="0" fontId="19" fillId="2" borderId="28" xfId="0" applyFont="1" applyFill="1" applyBorder="1"/>
    <xf numFmtId="167" fontId="8" fillId="2" borderId="1" xfId="0" applyNumberFormat="1" applyFont="1" applyFill="1" applyBorder="1" applyAlignment="1">
      <alignment horizontal="center" vertical="center"/>
    </xf>
    <xf numFmtId="0" fontId="0" fillId="3" borderId="12" xfId="0" applyFill="1" applyBorder="1"/>
    <xf numFmtId="0" fontId="19" fillId="3" borderId="18" xfId="0" applyFont="1" applyFill="1" applyBorder="1"/>
    <xf numFmtId="168" fontId="0" fillId="3" borderId="28" xfId="0" applyNumberFormat="1" applyFill="1" applyBorder="1"/>
    <xf numFmtId="0" fontId="19" fillId="3" borderId="10" xfId="0" applyFont="1" applyFill="1" applyBorder="1"/>
    <xf numFmtId="0" fontId="0" fillId="3" borderId="0" xfId="0" applyFill="1"/>
    <xf numFmtId="0" fontId="0" fillId="3" borderId="10" xfId="0" applyFill="1" applyBorder="1"/>
    <xf numFmtId="167" fontId="4" fillId="3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2" fillId="3" borderId="13" xfId="0" applyFont="1" applyFill="1" applyBorder="1" applyAlignment="1">
      <alignment horizontal="center"/>
    </xf>
    <xf numFmtId="0" fontId="12" fillId="3" borderId="14" xfId="0" applyFont="1" applyFill="1" applyBorder="1" applyAlignment="1">
      <alignment horizontal="center"/>
    </xf>
    <xf numFmtId="0" fontId="15" fillId="2" borderId="37" xfId="0" applyFont="1" applyFill="1" applyBorder="1" applyAlignment="1">
      <alignment horizontal="center"/>
    </xf>
    <xf numFmtId="0" fontId="15" fillId="2" borderId="38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15" fillId="3" borderId="35" xfId="0" applyFont="1" applyFill="1" applyBorder="1" applyAlignment="1">
      <alignment horizontal="center"/>
    </xf>
    <xf numFmtId="0" fontId="15" fillId="3" borderId="36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17" fillId="2" borderId="34" xfId="0" applyFont="1" applyFill="1" applyBorder="1" applyAlignment="1">
      <alignment horizontal="center" wrapText="1"/>
    </xf>
    <xf numFmtId="0" fontId="17" fillId="2" borderId="0" xfId="0" applyFont="1" applyFill="1" applyAlignment="1">
      <alignment horizontal="center" wrapText="1"/>
    </xf>
  </cellXfs>
  <cellStyles count="2">
    <cellStyle name="Moneda 2" xfId="1" xr:uid="{3AC943C0-7952-43D4-BF81-CFDA92C0771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7961-38D1-4D79-8C98-73463A744536}">
  <dimension ref="A1:AR75"/>
  <sheetViews>
    <sheetView tabSelected="1" topLeftCell="A14" workbookViewId="0">
      <selection activeCell="A27" sqref="A27"/>
    </sheetView>
  </sheetViews>
  <sheetFormatPr defaultColWidth="9.14453125" defaultRowHeight="15" x14ac:dyDescent="0.2"/>
  <cols>
    <col min="1" max="1" width="25.15234375" customWidth="1"/>
    <col min="2" max="2" width="20.4453125" customWidth="1"/>
    <col min="3" max="3" width="10.76171875" customWidth="1"/>
    <col min="4" max="4" width="10.22265625" customWidth="1"/>
    <col min="5" max="5" width="17.08203125" customWidth="1"/>
    <col min="6" max="6" width="12.5078125" style="1" bestFit="1" customWidth="1"/>
    <col min="7" max="7" width="8.33984375" customWidth="1"/>
    <col min="8" max="8" width="19.50390625" style="71" bestFit="1" customWidth="1"/>
    <col min="9" max="9" width="10.22265625" bestFit="1" customWidth="1"/>
    <col min="10" max="10" width="6.1875" bestFit="1" customWidth="1"/>
    <col min="11" max="11" width="12.9140625" customWidth="1"/>
    <col min="12" max="12" width="7.93359375" customWidth="1"/>
    <col min="13" max="13" width="5.24609375" customWidth="1"/>
    <col min="14" max="14" width="4.9765625" customWidth="1"/>
    <col min="15" max="15" width="16.0078125" bestFit="1" customWidth="1"/>
    <col min="16" max="16" width="11.43359375" bestFit="1" customWidth="1"/>
    <col min="17" max="17" width="3.359375" customWidth="1"/>
    <col min="18" max="18" width="13.046875" bestFit="1" customWidth="1"/>
    <col min="19" max="19" width="12.5078125" bestFit="1" customWidth="1"/>
    <col min="20" max="20" width="3.359375" customWidth="1"/>
    <col min="21" max="21" width="11.1640625" bestFit="1" customWidth="1"/>
    <col min="22" max="22" width="11.43359375" bestFit="1" customWidth="1"/>
    <col min="23" max="23" width="2.28515625" customWidth="1"/>
    <col min="24" max="24" width="20.17578125" bestFit="1" customWidth="1"/>
    <col min="25" max="25" width="11.02734375" bestFit="1" customWidth="1"/>
    <col min="26" max="26" width="3.359375" customWidth="1"/>
    <col min="27" max="27" width="36.18359375" bestFit="1" customWidth="1"/>
    <col min="30" max="30" width="2.95703125" customWidth="1"/>
    <col min="31" max="31" width="3.62890625" customWidth="1"/>
    <col min="32" max="32" width="14.2578125" bestFit="1" customWidth="1"/>
    <col min="33" max="33" width="12.9140625" bestFit="1" customWidth="1"/>
    <col min="34" max="34" width="16.41015625" bestFit="1" customWidth="1"/>
    <col min="35" max="35" width="9.28125" bestFit="1" customWidth="1"/>
    <col min="39" max="39" width="16.8125" bestFit="1" customWidth="1"/>
    <col min="40" max="40" width="24.88671875" customWidth="1"/>
    <col min="41" max="41" width="14.2578125" bestFit="1" customWidth="1"/>
  </cols>
  <sheetData>
    <row r="1" spans="1:44" ht="15" customHeight="1" x14ac:dyDescent="0.2">
      <c r="A1" s="138" t="s">
        <v>0</v>
      </c>
      <c r="B1" s="139"/>
      <c r="C1" s="93"/>
      <c r="E1" s="133" t="s">
        <v>1</v>
      </c>
      <c r="F1" s="134"/>
      <c r="G1" s="1"/>
      <c r="H1" s="140" t="s">
        <v>2</v>
      </c>
      <c r="I1" s="141"/>
      <c r="J1" s="1"/>
      <c r="K1" s="125" t="s">
        <v>3</v>
      </c>
      <c r="L1" s="125"/>
      <c r="M1" s="1"/>
      <c r="N1" s="1"/>
      <c r="O1" s="125" t="s">
        <v>4</v>
      </c>
      <c r="P1" s="125"/>
      <c r="Q1" s="1"/>
      <c r="R1" s="125" t="s">
        <v>5</v>
      </c>
      <c r="S1" s="126"/>
      <c r="T1" s="1"/>
      <c r="U1" s="127" t="s">
        <v>6</v>
      </c>
      <c r="V1" s="127"/>
      <c r="W1" s="1"/>
      <c r="X1" s="128"/>
      <c r="Y1" s="128"/>
      <c r="Z1" s="1"/>
      <c r="AA1" s="132" t="s">
        <v>7</v>
      </c>
      <c r="AB1" s="132"/>
      <c r="AC1" s="132"/>
      <c r="AD1" s="1"/>
      <c r="AE1" s="1"/>
      <c r="AF1" s="130" t="s">
        <v>8</v>
      </c>
      <c r="AG1" s="130"/>
      <c r="AH1" s="131"/>
      <c r="AI1" s="131"/>
      <c r="AJ1" s="1"/>
      <c r="AK1" s="1"/>
      <c r="AL1" s="1"/>
      <c r="AM1" s="1" t="s">
        <v>9</v>
      </c>
      <c r="AN1" s="1"/>
      <c r="AO1" s="1"/>
      <c r="AP1" s="1"/>
    </row>
    <row r="2" spans="1:44" ht="16.5" customHeight="1" x14ac:dyDescent="0.2">
      <c r="A2" s="94" t="s">
        <v>193</v>
      </c>
      <c r="B2" s="97">
        <v>15000</v>
      </c>
      <c r="C2" s="33"/>
      <c r="E2" s="2"/>
      <c r="F2" s="2"/>
      <c r="G2" s="1"/>
      <c r="H2" s="142"/>
      <c r="I2" s="143"/>
      <c r="J2" s="1"/>
      <c r="K2" s="125"/>
      <c r="L2" s="125"/>
      <c r="M2" s="1"/>
      <c r="N2" s="1"/>
      <c r="O2" s="125"/>
      <c r="P2" s="125"/>
      <c r="Q2" s="1"/>
      <c r="R2" s="126"/>
      <c r="S2" s="126"/>
      <c r="T2" s="1"/>
      <c r="U2" s="127"/>
      <c r="V2" s="127"/>
      <c r="W2" s="1"/>
      <c r="X2" s="128"/>
      <c r="Y2" s="128"/>
      <c r="Z2" s="1"/>
      <c r="AA2" s="132"/>
      <c r="AB2" s="132"/>
      <c r="AC2" s="132"/>
      <c r="AD2" s="1"/>
      <c r="AE2" s="1"/>
      <c r="AF2" s="122" t="s">
        <v>11</v>
      </c>
      <c r="AG2" s="123"/>
      <c r="AH2" s="129" t="s">
        <v>11</v>
      </c>
      <c r="AI2" s="129"/>
      <c r="AJ2" s="1"/>
      <c r="AK2" s="1"/>
      <c r="AL2" s="1"/>
      <c r="AM2" s="38" t="s">
        <v>12</v>
      </c>
      <c r="AN2" s="30"/>
      <c r="AO2" s="30" t="s">
        <v>13</v>
      </c>
      <c r="AP2" s="1" t="s">
        <v>14</v>
      </c>
    </row>
    <row r="3" spans="1:44" ht="17.25" customHeight="1" x14ac:dyDescent="0.2">
      <c r="A3" s="94" t="s">
        <v>197</v>
      </c>
      <c r="B3" s="97">
        <v>15500</v>
      </c>
      <c r="C3" s="33"/>
      <c r="E3" s="15" t="s">
        <v>16</v>
      </c>
      <c r="F3" s="105">
        <v>18600</v>
      </c>
      <c r="G3" s="1"/>
      <c r="H3" s="64" t="s">
        <v>17</v>
      </c>
      <c r="I3" s="60">
        <v>8500</v>
      </c>
      <c r="J3" s="1"/>
      <c r="K3" s="11" t="s">
        <v>10</v>
      </c>
      <c r="L3" s="78">
        <v>10300</v>
      </c>
      <c r="M3" s="1"/>
      <c r="N3" s="1"/>
      <c r="O3" s="15" t="s">
        <v>18</v>
      </c>
      <c r="P3" s="105">
        <v>8800</v>
      </c>
      <c r="Q3" s="1"/>
      <c r="R3" s="50" t="s">
        <v>19</v>
      </c>
      <c r="S3" s="39">
        <v>4500</v>
      </c>
      <c r="T3" s="1"/>
      <c r="U3" s="47" t="s">
        <v>20</v>
      </c>
      <c r="V3" s="75">
        <f>4400*1.5</f>
        <v>6600</v>
      </c>
      <c r="W3" s="1"/>
      <c r="X3" s="15"/>
      <c r="Y3" s="16"/>
      <c r="Z3" s="1"/>
      <c r="AA3" s="18" t="s">
        <v>21</v>
      </c>
      <c r="AB3" s="79"/>
      <c r="AC3" s="18" t="s">
        <v>22</v>
      </c>
      <c r="AD3" s="1"/>
      <c r="AE3" s="1"/>
      <c r="AF3" s="122"/>
      <c r="AG3" s="123"/>
      <c r="AH3" s="129"/>
      <c r="AI3" s="129"/>
      <c r="AJ3" s="1"/>
      <c r="AK3" s="1"/>
      <c r="AL3" s="1"/>
      <c r="AM3" s="30" t="s">
        <v>23</v>
      </c>
      <c r="AN3" s="36"/>
      <c r="AO3" s="114">
        <v>3600</v>
      </c>
      <c r="AP3" s="115">
        <v>3400</v>
      </c>
      <c r="AQ3" s="1"/>
      <c r="AR3" s="1"/>
    </row>
    <row r="4" spans="1:44" x14ac:dyDescent="0.2">
      <c r="A4" s="94" t="s">
        <v>24</v>
      </c>
      <c r="B4" s="97">
        <v>14900</v>
      </c>
      <c r="C4" s="33"/>
      <c r="D4" s="42"/>
      <c r="E4" s="2" t="s">
        <v>25</v>
      </c>
      <c r="F4" s="106">
        <v>19000</v>
      </c>
      <c r="G4" s="1"/>
      <c r="H4" s="65" t="s">
        <v>26</v>
      </c>
      <c r="I4" s="61">
        <v>8500</v>
      </c>
      <c r="J4" s="1"/>
      <c r="K4" s="11" t="s">
        <v>15</v>
      </c>
      <c r="L4" s="78">
        <v>11300</v>
      </c>
      <c r="M4" s="1"/>
      <c r="N4" s="1"/>
      <c r="O4" s="15" t="s">
        <v>27</v>
      </c>
      <c r="P4" s="106">
        <v>8800</v>
      </c>
      <c r="Q4" s="1"/>
      <c r="R4" s="35" t="s">
        <v>28</v>
      </c>
      <c r="S4" s="117">
        <v>12000</v>
      </c>
      <c r="T4" s="1"/>
      <c r="U4" s="4" t="s">
        <v>29</v>
      </c>
      <c r="V4" s="41">
        <v>6500</v>
      </c>
      <c r="W4" s="1"/>
      <c r="X4" s="2"/>
      <c r="Y4" s="5"/>
      <c r="Z4" s="1"/>
      <c r="AA4" s="19" t="s">
        <v>30</v>
      </c>
      <c r="AB4" s="80"/>
      <c r="AC4" s="19" t="s">
        <v>22</v>
      </c>
      <c r="AD4" s="1"/>
      <c r="AE4" s="1"/>
      <c r="AF4" s="2" t="s">
        <v>16</v>
      </c>
      <c r="AG4" s="86"/>
      <c r="AH4" s="6" t="s">
        <v>31</v>
      </c>
      <c r="AI4" s="90">
        <v>11500</v>
      </c>
      <c r="AJ4" s="1"/>
      <c r="AK4" s="1"/>
      <c r="AL4" s="1"/>
      <c r="AM4" s="30" t="s">
        <v>32</v>
      </c>
      <c r="AN4" s="36"/>
      <c r="AO4" s="114">
        <v>8800</v>
      </c>
      <c r="AP4" s="115">
        <v>8500</v>
      </c>
      <c r="AQ4" s="1"/>
      <c r="AR4" s="1"/>
    </row>
    <row r="5" spans="1:44" ht="18" customHeight="1" x14ac:dyDescent="0.2">
      <c r="A5" s="94" t="s">
        <v>198</v>
      </c>
      <c r="B5" s="97">
        <v>15000</v>
      </c>
      <c r="C5" s="33"/>
      <c r="E5" s="2" t="s">
        <v>34</v>
      </c>
      <c r="F5" s="106">
        <v>20900</v>
      </c>
      <c r="G5" s="1"/>
      <c r="H5" s="65" t="s">
        <v>35</v>
      </c>
      <c r="I5" s="61">
        <v>9000</v>
      </c>
      <c r="J5" s="1"/>
      <c r="K5" s="11" t="s">
        <v>36</v>
      </c>
      <c r="L5" s="78">
        <v>11700</v>
      </c>
      <c r="M5" s="1"/>
      <c r="N5" s="1"/>
      <c r="O5" s="15" t="s">
        <v>37</v>
      </c>
      <c r="P5" s="106">
        <f>10500*2</f>
        <v>21000</v>
      </c>
      <c r="Q5" s="1"/>
      <c r="R5" s="35"/>
      <c r="S5" s="40"/>
      <c r="T5" s="1"/>
      <c r="U5" s="4" t="s">
        <v>38</v>
      </c>
      <c r="V5" s="41">
        <v>10900</v>
      </c>
      <c r="W5" s="1"/>
      <c r="X5" s="2"/>
      <c r="Y5" s="5"/>
      <c r="Z5" s="1"/>
      <c r="AA5" s="19" t="s">
        <v>39</v>
      </c>
      <c r="AB5" s="80"/>
      <c r="AC5" s="19" t="s">
        <v>22</v>
      </c>
      <c r="AD5" s="1"/>
      <c r="AE5" s="1"/>
      <c r="AF5" s="2" t="s">
        <v>25</v>
      </c>
      <c r="AG5" s="86"/>
      <c r="AH5" s="6" t="s">
        <v>40</v>
      </c>
      <c r="AI5" s="90">
        <v>10000</v>
      </c>
      <c r="AJ5" s="1"/>
      <c r="AK5" s="1"/>
      <c r="AL5" s="1"/>
      <c r="AM5" s="23" t="s">
        <v>41</v>
      </c>
      <c r="AN5" s="27"/>
      <c r="AO5" s="116">
        <v>2100</v>
      </c>
      <c r="AP5" s="115">
        <v>1800</v>
      </c>
      <c r="AQ5" s="1"/>
      <c r="AR5" s="1"/>
    </row>
    <row r="6" spans="1:44" ht="16.5" customHeight="1" x14ac:dyDescent="0.2">
      <c r="A6" s="94" t="s">
        <v>199</v>
      </c>
      <c r="B6" s="108">
        <v>19500</v>
      </c>
      <c r="C6" s="92"/>
      <c r="E6" s="2" t="s">
        <v>42</v>
      </c>
      <c r="F6" s="106">
        <v>20900</v>
      </c>
      <c r="G6" s="1"/>
      <c r="H6" s="65" t="s">
        <v>43</v>
      </c>
      <c r="I6" s="61">
        <v>13000</v>
      </c>
      <c r="J6" s="1"/>
      <c r="K6" s="11" t="s">
        <v>44</v>
      </c>
      <c r="L6" s="78">
        <v>12300</v>
      </c>
      <c r="M6" s="1"/>
      <c r="N6" s="1"/>
      <c r="O6" s="15" t="s">
        <v>45</v>
      </c>
      <c r="P6" s="40">
        <v>11000</v>
      </c>
      <c r="Q6" s="1"/>
      <c r="R6" s="24"/>
      <c r="S6" s="40"/>
      <c r="T6" s="1"/>
      <c r="U6" s="22" t="s">
        <v>46</v>
      </c>
      <c r="V6" s="76">
        <v>10900</v>
      </c>
      <c r="W6" s="1"/>
      <c r="X6" s="2"/>
      <c r="Y6" s="5"/>
      <c r="Z6" s="1"/>
      <c r="AA6" s="19" t="s">
        <v>47</v>
      </c>
      <c r="AB6" s="80"/>
      <c r="AC6" s="19" t="s">
        <v>22</v>
      </c>
      <c r="AD6" s="1"/>
      <c r="AE6" s="1"/>
      <c r="AF6" s="2" t="s">
        <v>48</v>
      </c>
      <c r="AG6" s="86"/>
      <c r="AH6" s="6" t="s">
        <v>49</v>
      </c>
      <c r="AI6" s="90">
        <v>12900</v>
      </c>
      <c r="AJ6" s="1"/>
      <c r="AK6" s="1"/>
      <c r="AL6" s="1"/>
      <c r="AM6" s="23" t="s">
        <v>50</v>
      </c>
      <c r="AN6" s="27"/>
      <c r="AO6" s="116">
        <v>1100</v>
      </c>
      <c r="AP6" s="115">
        <v>1100</v>
      </c>
      <c r="AQ6" s="1"/>
      <c r="AR6" s="1"/>
    </row>
    <row r="7" spans="1:44" ht="14.25" customHeight="1" x14ac:dyDescent="0.2">
      <c r="A7" s="94" t="s">
        <v>51</v>
      </c>
      <c r="B7" s="97">
        <v>15000</v>
      </c>
      <c r="C7" s="33"/>
      <c r="E7" s="2" t="s">
        <v>52</v>
      </c>
      <c r="F7" s="40">
        <v>17900</v>
      </c>
      <c r="G7" s="1"/>
      <c r="H7" s="66" t="s">
        <v>53</v>
      </c>
      <c r="I7" s="57">
        <v>12000</v>
      </c>
      <c r="J7" s="1"/>
      <c r="K7" s="11" t="s">
        <v>54</v>
      </c>
      <c r="L7" s="78">
        <v>11200</v>
      </c>
      <c r="M7" s="1"/>
      <c r="N7" s="1"/>
      <c r="O7" s="15" t="s">
        <v>55</v>
      </c>
      <c r="P7" s="40">
        <v>6550</v>
      </c>
      <c r="Q7" s="1"/>
      <c r="R7" s="35" t="s">
        <v>56</v>
      </c>
      <c r="S7" s="40">
        <v>3000</v>
      </c>
      <c r="T7" s="1"/>
      <c r="U7" s="17" t="s">
        <v>57</v>
      </c>
      <c r="V7" s="77">
        <v>12500</v>
      </c>
      <c r="W7" s="1"/>
      <c r="X7" s="2"/>
      <c r="Y7" s="5"/>
      <c r="Z7" s="1"/>
      <c r="AA7" s="19" t="s">
        <v>58</v>
      </c>
      <c r="AB7" s="80"/>
      <c r="AC7" s="19" t="s">
        <v>22</v>
      </c>
      <c r="AD7" s="1"/>
      <c r="AE7" s="1"/>
      <c r="AF7" s="2"/>
      <c r="AG7" s="86"/>
      <c r="AH7" s="6" t="s">
        <v>59</v>
      </c>
      <c r="AI7" s="90">
        <v>13200</v>
      </c>
      <c r="AJ7" s="1"/>
      <c r="AK7" s="1"/>
      <c r="AL7" s="1"/>
      <c r="AM7" s="1"/>
      <c r="AN7" s="28"/>
      <c r="AO7" s="33"/>
      <c r="AP7" s="1"/>
      <c r="AQ7" s="1"/>
      <c r="AR7" s="1"/>
    </row>
    <row r="8" spans="1:44" ht="16.5" customHeight="1" x14ac:dyDescent="0.2">
      <c r="A8" s="94" t="s">
        <v>33</v>
      </c>
      <c r="B8" s="97">
        <v>16000</v>
      </c>
      <c r="C8" s="33"/>
      <c r="E8" s="2" t="s">
        <v>60</v>
      </c>
      <c r="F8" s="40">
        <v>21500</v>
      </c>
      <c r="G8" s="1"/>
      <c r="H8" s="67" t="s">
        <v>61</v>
      </c>
      <c r="I8" s="58">
        <v>6000</v>
      </c>
      <c r="J8" s="1"/>
      <c r="K8" s="11" t="s">
        <v>62</v>
      </c>
      <c r="L8" s="78">
        <v>9800</v>
      </c>
      <c r="M8" s="1"/>
      <c r="N8" s="1"/>
      <c r="O8" s="15" t="s">
        <v>63</v>
      </c>
      <c r="P8" s="40">
        <v>4550</v>
      </c>
      <c r="Q8" s="1"/>
      <c r="R8" s="35" t="s">
        <v>64</v>
      </c>
      <c r="S8" s="40">
        <v>7500</v>
      </c>
      <c r="T8" s="1"/>
      <c r="U8" s="17" t="s">
        <v>65</v>
      </c>
      <c r="V8" s="77">
        <v>29000</v>
      </c>
      <c r="W8" s="1"/>
      <c r="X8" s="2"/>
      <c r="Y8" s="5"/>
      <c r="Z8" s="1"/>
      <c r="AA8" s="19" t="s">
        <v>66</v>
      </c>
      <c r="AB8" s="80"/>
      <c r="AC8" s="19" t="s">
        <v>22</v>
      </c>
      <c r="AD8" s="1"/>
      <c r="AE8" s="1"/>
      <c r="AF8" s="10" t="s">
        <v>67</v>
      </c>
      <c r="AG8" s="86"/>
      <c r="AH8" s="6" t="s">
        <v>68</v>
      </c>
      <c r="AI8" s="6">
        <v>14500</v>
      </c>
      <c r="AJ8" s="1"/>
      <c r="AK8" s="1"/>
      <c r="AL8" s="1"/>
      <c r="AM8" s="1"/>
      <c r="AN8" s="1"/>
      <c r="AO8" s="33"/>
      <c r="AP8" s="1"/>
      <c r="AQ8" s="1"/>
      <c r="AR8" s="1"/>
    </row>
    <row r="9" spans="1:44" ht="16.5" customHeight="1" x14ac:dyDescent="0.2">
      <c r="A9" s="94"/>
      <c r="B9" s="97"/>
      <c r="C9" s="33"/>
      <c r="E9" s="2" t="s">
        <v>69</v>
      </c>
      <c r="F9" s="40">
        <v>20900</v>
      </c>
      <c r="G9" s="1"/>
      <c r="H9" s="67" t="s">
        <v>70</v>
      </c>
      <c r="I9" s="58">
        <v>8000</v>
      </c>
      <c r="J9" s="1"/>
      <c r="K9" s="11" t="s">
        <v>71</v>
      </c>
      <c r="L9" s="78">
        <v>8400</v>
      </c>
      <c r="M9" s="1"/>
      <c r="N9" s="1"/>
      <c r="O9" s="15" t="s">
        <v>72</v>
      </c>
      <c r="P9" s="40">
        <v>11000</v>
      </c>
      <c r="Q9" s="1"/>
      <c r="R9" s="35"/>
      <c r="S9" s="40"/>
      <c r="T9" s="1"/>
      <c r="U9" s="17" t="s">
        <v>73</v>
      </c>
      <c r="V9" s="77">
        <v>5500</v>
      </c>
      <c r="W9" s="1"/>
      <c r="X9" s="2"/>
      <c r="Y9" s="5"/>
      <c r="Z9" s="1"/>
      <c r="AA9" s="19"/>
      <c r="AB9" s="80"/>
      <c r="AC9" s="19" t="s">
        <v>22</v>
      </c>
      <c r="AD9" s="1"/>
      <c r="AE9" s="1"/>
      <c r="AF9" s="11"/>
      <c r="AG9" s="87"/>
      <c r="AH9" s="6" t="s">
        <v>74</v>
      </c>
      <c r="AI9" s="6">
        <v>13900</v>
      </c>
      <c r="AJ9" s="1"/>
      <c r="AK9" s="1"/>
      <c r="AL9" s="1"/>
      <c r="AM9" s="1"/>
      <c r="AN9" s="28"/>
      <c r="AO9" s="33"/>
      <c r="AP9" s="1"/>
      <c r="AQ9" s="1"/>
      <c r="AR9" s="1"/>
    </row>
    <row r="10" spans="1:44" ht="16.5" customHeight="1" thickBot="1" x14ac:dyDescent="0.25">
      <c r="A10" s="94" t="s">
        <v>75</v>
      </c>
      <c r="B10" s="108">
        <v>16000</v>
      </c>
      <c r="C10" s="92"/>
      <c r="E10" s="2" t="s">
        <v>76</v>
      </c>
      <c r="F10" s="40">
        <v>18000</v>
      </c>
      <c r="G10" s="1"/>
      <c r="H10" s="68" t="s">
        <v>77</v>
      </c>
      <c r="I10" s="59">
        <v>6000</v>
      </c>
      <c r="J10" s="1"/>
      <c r="K10" s="11" t="s">
        <v>78</v>
      </c>
      <c r="L10" s="78">
        <v>4000</v>
      </c>
      <c r="M10" s="1"/>
      <c r="N10" s="1"/>
      <c r="O10" s="15" t="s">
        <v>79</v>
      </c>
      <c r="P10" s="40">
        <v>11000</v>
      </c>
      <c r="Q10" s="1"/>
      <c r="R10" s="24"/>
      <c r="S10" s="40"/>
      <c r="T10" s="1"/>
      <c r="U10" s="17" t="s">
        <v>80</v>
      </c>
      <c r="V10" s="77">
        <v>5500</v>
      </c>
      <c r="W10" s="1"/>
      <c r="X10" s="2"/>
      <c r="Y10" s="5"/>
      <c r="Z10" s="1"/>
      <c r="AA10" s="19" t="s">
        <v>81</v>
      </c>
      <c r="AB10" s="80"/>
      <c r="AC10" s="19" t="s">
        <v>22</v>
      </c>
      <c r="AD10" s="1"/>
      <c r="AE10" s="1"/>
      <c r="AF10" s="11"/>
      <c r="AG10" s="87"/>
      <c r="AH10" s="11"/>
      <c r="AI10" s="56"/>
      <c r="AJ10" s="1"/>
      <c r="AK10" s="1"/>
      <c r="AL10" s="1"/>
      <c r="AM10" s="23" t="s">
        <v>82</v>
      </c>
      <c r="AN10" s="27"/>
      <c r="AO10" s="23" t="s">
        <v>83</v>
      </c>
      <c r="AP10" s="1"/>
      <c r="AQ10" s="1"/>
      <c r="AR10" s="1"/>
    </row>
    <row r="11" spans="1:44" ht="18" customHeight="1" x14ac:dyDescent="0.2">
      <c r="A11" s="94"/>
      <c r="B11" s="108"/>
      <c r="C11" s="92"/>
      <c r="E11" s="21" t="s">
        <v>84</v>
      </c>
      <c r="F11" s="40">
        <v>20900</v>
      </c>
      <c r="G11" s="1"/>
      <c r="H11" s="69"/>
      <c r="I11" s="45"/>
      <c r="J11" s="1"/>
      <c r="K11" s="144"/>
      <c r="L11" s="144"/>
      <c r="M11" s="1"/>
      <c r="N11" s="1"/>
      <c r="O11" s="15" t="s">
        <v>85</v>
      </c>
      <c r="P11" s="40">
        <v>11000</v>
      </c>
      <c r="Q11" s="1"/>
      <c r="R11" s="89" t="s">
        <v>86</v>
      </c>
      <c r="S11" s="40">
        <v>4500</v>
      </c>
      <c r="T11" s="1"/>
      <c r="U11" s="6" t="s">
        <v>87</v>
      </c>
      <c r="V11" s="73">
        <v>5900</v>
      </c>
      <c r="W11" s="1"/>
      <c r="X11" s="2"/>
      <c r="Y11" s="5"/>
      <c r="Z11" s="1"/>
      <c r="AA11" s="19"/>
      <c r="AB11" s="80"/>
      <c r="AC11" s="19" t="s">
        <v>22</v>
      </c>
      <c r="AD11" s="1"/>
      <c r="AE11" s="1"/>
      <c r="AF11" s="11" t="s">
        <v>88</v>
      </c>
      <c r="AG11" s="87"/>
      <c r="AH11" s="11"/>
      <c r="AI11" s="56"/>
      <c r="AJ11" s="1"/>
      <c r="AK11" s="1"/>
      <c r="AL11" s="1"/>
      <c r="AM11" s="23" t="s">
        <v>89</v>
      </c>
      <c r="AN11" s="27" t="s">
        <v>90</v>
      </c>
      <c r="AO11" s="23">
        <v>7700</v>
      </c>
      <c r="AP11" s="1"/>
      <c r="AQ11" s="1"/>
      <c r="AR11" s="1"/>
    </row>
    <row r="12" spans="1:44" ht="15.75" thickBot="1" x14ac:dyDescent="0.25">
      <c r="A12" s="95" t="s">
        <v>91</v>
      </c>
      <c r="B12" s="109">
        <v>18000</v>
      </c>
      <c r="C12" s="33"/>
      <c r="E12" s="49" t="s">
        <v>92</v>
      </c>
      <c r="F12" s="40">
        <v>18500</v>
      </c>
      <c r="G12" s="1"/>
      <c r="H12" s="69"/>
      <c r="I12" s="46"/>
      <c r="J12" s="1"/>
      <c r="K12" s="145"/>
      <c r="L12" s="145"/>
      <c r="M12" s="1"/>
      <c r="N12" s="1"/>
      <c r="O12" s="15" t="s">
        <v>93</v>
      </c>
      <c r="P12" s="40">
        <v>13000</v>
      </c>
      <c r="Q12" s="1"/>
      <c r="R12" s="35" t="s">
        <v>94</v>
      </c>
      <c r="S12" s="40">
        <v>10800</v>
      </c>
      <c r="T12" s="1"/>
      <c r="U12" s="6" t="s">
        <v>95</v>
      </c>
      <c r="V12" s="73">
        <v>3000</v>
      </c>
      <c r="W12" s="1"/>
      <c r="X12" s="20"/>
      <c r="Y12" s="5"/>
      <c r="Z12" s="1"/>
      <c r="AA12" s="19" t="s">
        <v>96</v>
      </c>
      <c r="AB12" s="80"/>
      <c r="AC12" s="51" t="s">
        <v>22</v>
      </c>
      <c r="AD12" s="1"/>
      <c r="AE12" s="1"/>
      <c r="AF12" s="11" t="s">
        <v>97</v>
      </c>
      <c r="AG12" s="87"/>
      <c r="AH12" s="11"/>
      <c r="AI12" s="56"/>
      <c r="AJ12" s="1"/>
      <c r="AK12" s="1"/>
      <c r="AL12" s="1"/>
      <c r="AM12" s="23"/>
      <c r="AN12" s="27"/>
      <c r="AO12" s="23"/>
      <c r="AP12" s="1"/>
      <c r="AQ12" s="1"/>
      <c r="AR12" s="1"/>
    </row>
    <row r="13" spans="1:44" ht="18" customHeight="1" x14ac:dyDescent="0.2">
      <c r="A13" s="107"/>
      <c r="B13" s="70"/>
      <c r="C13" s="1"/>
      <c r="D13" s="8"/>
      <c r="E13" s="11" t="s">
        <v>98</v>
      </c>
      <c r="F13" s="84">
        <v>17500</v>
      </c>
      <c r="G13" s="1"/>
      <c r="H13" s="69"/>
      <c r="I13" s="33"/>
      <c r="J13" s="1"/>
      <c r="K13" s="145"/>
      <c r="L13" s="145"/>
      <c r="M13" s="1"/>
      <c r="N13" s="1"/>
      <c r="O13" s="15" t="s">
        <v>99</v>
      </c>
      <c r="P13" s="40">
        <v>2000</v>
      </c>
      <c r="Q13" s="1"/>
      <c r="R13" s="35" t="s">
        <v>100</v>
      </c>
      <c r="S13" s="40">
        <v>20000</v>
      </c>
      <c r="T13" s="1"/>
      <c r="U13" s="6"/>
      <c r="V13" s="6"/>
      <c r="W13" s="1"/>
      <c r="X13" s="2"/>
      <c r="Y13" s="5"/>
      <c r="Z13" s="1"/>
      <c r="AA13" s="19" t="s">
        <v>101</v>
      </c>
      <c r="AB13" s="81"/>
      <c r="AC13" s="19" t="s">
        <v>22</v>
      </c>
      <c r="AD13" s="1"/>
      <c r="AE13" s="1"/>
      <c r="AF13" s="11"/>
      <c r="AG13" s="88"/>
      <c r="AH13" s="11"/>
      <c r="AI13" s="56"/>
      <c r="AJ13" s="1"/>
      <c r="AK13" s="1"/>
      <c r="AL13" s="1"/>
      <c r="AM13" s="23" t="s">
        <v>102</v>
      </c>
      <c r="AN13" s="27" t="s">
        <v>103</v>
      </c>
      <c r="AO13" s="23">
        <v>9300</v>
      </c>
      <c r="AP13" s="1"/>
      <c r="AQ13" s="1"/>
      <c r="AR13" s="1"/>
    </row>
    <row r="14" spans="1:44" ht="17.25" customHeight="1" x14ac:dyDescent="0.2">
      <c r="A14" s="107"/>
      <c r="B14" s="70"/>
      <c r="C14" s="1"/>
      <c r="D14" s="1"/>
      <c r="E14" s="15" t="s">
        <v>104</v>
      </c>
      <c r="F14" s="40">
        <v>16500</v>
      </c>
      <c r="G14" s="1"/>
      <c r="H14" s="1"/>
      <c r="I14" s="1"/>
      <c r="J14" s="1"/>
      <c r="K14" s="145"/>
      <c r="L14" s="145"/>
      <c r="M14" s="1"/>
      <c r="N14" s="1"/>
      <c r="O14" s="2" t="s">
        <v>105</v>
      </c>
      <c r="P14" s="40">
        <v>2000</v>
      </c>
      <c r="Q14" s="1"/>
      <c r="R14" s="35"/>
      <c r="S14" s="40"/>
      <c r="T14" s="1"/>
      <c r="U14" s="1" t="s">
        <v>106</v>
      </c>
      <c r="V14" s="1"/>
      <c r="W14" s="1"/>
      <c r="X14" s="2"/>
      <c r="Y14" s="5"/>
      <c r="Z14" s="1"/>
      <c r="AA14" s="19" t="s">
        <v>107</v>
      </c>
      <c r="AB14" s="81"/>
      <c r="AC14" s="19" t="s">
        <v>22</v>
      </c>
      <c r="AD14" s="33"/>
      <c r="AE14" s="33"/>
      <c r="AF14" s="11"/>
      <c r="AG14" s="88"/>
      <c r="AH14" s="11"/>
      <c r="AI14" s="56"/>
      <c r="AJ14" s="1"/>
      <c r="AK14" s="1"/>
      <c r="AL14" s="1"/>
      <c r="AM14" s="23" t="s">
        <v>55</v>
      </c>
      <c r="AN14" s="27"/>
      <c r="AO14" s="23">
        <v>6050</v>
      </c>
      <c r="AP14" s="1"/>
      <c r="AQ14" s="1"/>
      <c r="AR14" s="1"/>
    </row>
    <row r="15" spans="1:44" ht="18" customHeight="1" thickBot="1" x14ac:dyDescent="0.25">
      <c r="A15" s="1"/>
      <c r="B15" s="70"/>
      <c r="C15" s="1"/>
      <c r="D15" s="1"/>
      <c r="E15" s="2" t="s">
        <v>108</v>
      </c>
      <c r="F15" s="40">
        <v>16500</v>
      </c>
      <c r="G15" s="1"/>
      <c r="H15" s="1"/>
      <c r="I15" s="1"/>
      <c r="J15" s="1"/>
      <c r="K15" s="31"/>
      <c r="L15" s="72"/>
      <c r="M15" s="1"/>
      <c r="N15" s="1"/>
      <c r="O15" s="2" t="s">
        <v>109</v>
      </c>
      <c r="P15" s="40">
        <v>3000</v>
      </c>
      <c r="Q15" s="1"/>
      <c r="R15" s="24" t="s">
        <v>110</v>
      </c>
      <c r="S15" s="40">
        <v>1900</v>
      </c>
      <c r="T15" s="1"/>
      <c r="U15" s="1"/>
      <c r="V15" s="1"/>
      <c r="W15" s="1"/>
      <c r="X15" s="2"/>
      <c r="Y15" s="5"/>
      <c r="Z15" s="1"/>
      <c r="AA15" s="19" t="s">
        <v>111</v>
      </c>
      <c r="AB15" s="82"/>
      <c r="AC15" s="11"/>
      <c r="AD15" s="33"/>
      <c r="AE15" s="33"/>
      <c r="AF15" s="52" t="s">
        <v>112</v>
      </c>
      <c r="AG15" s="53"/>
      <c r="AH15" s="11"/>
      <c r="AI15" s="56"/>
      <c r="AJ15" s="1"/>
      <c r="AK15" s="1"/>
      <c r="AL15" s="1"/>
      <c r="AM15" s="23" t="s">
        <v>63</v>
      </c>
      <c r="AN15" s="27"/>
      <c r="AO15" s="23">
        <v>4050</v>
      </c>
      <c r="AP15" s="1"/>
      <c r="AQ15" s="1"/>
      <c r="AR15" s="1"/>
    </row>
    <row r="16" spans="1:44" ht="15" customHeight="1" x14ac:dyDescent="0.2">
      <c r="A16" s="96" t="s">
        <v>195</v>
      </c>
      <c r="B16" s="112">
        <v>10500</v>
      </c>
      <c r="C16" s="33"/>
      <c r="D16" s="1"/>
      <c r="E16" s="2"/>
      <c r="F16" s="40"/>
      <c r="G16" s="1"/>
      <c r="H16" s="1"/>
      <c r="I16" s="1"/>
      <c r="J16" s="1"/>
      <c r="K16" s="31"/>
      <c r="L16" s="72"/>
      <c r="M16" s="1"/>
      <c r="N16" s="1"/>
      <c r="O16" s="2" t="s">
        <v>113</v>
      </c>
      <c r="P16" s="40">
        <v>3000</v>
      </c>
      <c r="Q16" s="1"/>
      <c r="R16" s="35" t="s">
        <v>114</v>
      </c>
      <c r="S16" s="40">
        <v>5100</v>
      </c>
      <c r="T16" s="1"/>
      <c r="U16" s="1"/>
      <c r="V16" s="1"/>
      <c r="W16" s="1"/>
      <c r="X16" s="2"/>
      <c r="Y16" s="5"/>
      <c r="Z16" s="1"/>
      <c r="AA16" s="19" t="s">
        <v>115</v>
      </c>
      <c r="AB16" s="81"/>
      <c r="AC16" s="11"/>
      <c r="AD16" s="31"/>
      <c r="AE16" s="33"/>
      <c r="AF16" s="11"/>
      <c r="AG16" s="54"/>
      <c r="AH16" s="15"/>
      <c r="AI16" s="14"/>
      <c r="AJ16" s="1"/>
      <c r="AK16" s="1"/>
      <c r="AL16" s="1"/>
      <c r="AM16" s="1"/>
      <c r="AN16" s="28"/>
      <c r="AO16" s="33"/>
      <c r="AP16" s="1"/>
      <c r="AQ16" s="1"/>
      <c r="AR16" s="1"/>
    </row>
    <row r="17" spans="1:44" ht="15" customHeight="1" x14ac:dyDescent="0.2">
      <c r="A17" s="94" t="s">
        <v>116</v>
      </c>
      <c r="B17" s="97">
        <v>18500</v>
      </c>
      <c r="C17" s="33"/>
      <c r="D17" s="1"/>
      <c r="E17" s="2" t="s">
        <v>117</v>
      </c>
      <c r="F17" s="40">
        <v>21500</v>
      </c>
      <c r="G17" s="1"/>
      <c r="H17" s="1"/>
      <c r="I17" s="1"/>
      <c r="K17" s="1"/>
      <c r="L17" s="1"/>
      <c r="M17" s="1"/>
      <c r="N17" s="1"/>
      <c r="O17" s="1" t="s">
        <v>118</v>
      </c>
      <c r="P17" s="1" t="s">
        <v>119</v>
      </c>
      <c r="Q17" s="1"/>
      <c r="R17" s="15"/>
      <c r="S17" s="40"/>
      <c r="T17" s="1"/>
      <c r="U17" s="1"/>
      <c r="V17" s="1"/>
      <c r="W17" s="1"/>
      <c r="X17" s="2"/>
      <c r="Y17" s="5"/>
      <c r="Z17" s="1"/>
      <c r="AA17" s="19" t="s">
        <v>120</v>
      </c>
      <c r="AB17" s="81"/>
      <c r="AC17" s="19" t="s">
        <v>22</v>
      </c>
      <c r="AD17" s="31"/>
      <c r="AE17" s="33"/>
      <c r="AF17" s="11" t="s">
        <v>121</v>
      </c>
      <c r="AG17" s="54"/>
      <c r="AH17" s="2"/>
      <c r="AI17" s="3"/>
      <c r="AJ17" s="1"/>
      <c r="AK17" s="1"/>
      <c r="AL17" s="1"/>
      <c r="AM17" s="1"/>
      <c r="AN17" s="28"/>
      <c r="AO17" s="33"/>
      <c r="AP17" s="1"/>
      <c r="AQ17" s="1"/>
      <c r="AR17" s="1"/>
    </row>
    <row r="18" spans="1:44" ht="15" customHeight="1" x14ac:dyDescent="0.2">
      <c r="A18" s="94"/>
      <c r="B18" s="97"/>
      <c r="C18" s="33"/>
      <c r="D18" s="1"/>
      <c r="E18" s="2" t="s">
        <v>88</v>
      </c>
      <c r="F18" s="40">
        <v>16900</v>
      </c>
      <c r="G18" s="1"/>
      <c r="H18"/>
      <c r="K18" s="1"/>
      <c r="L18" s="1"/>
      <c r="M18" s="1"/>
      <c r="N18" s="1"/>
      <c r="O18" s="124" t="s">
        <v>122</v>
      </c>
      <c r="P18" s="124"/>
      <c r="Q18" s="1"/>
      <c r="R18" s="24"/>
      <c r="S18" s="40"/>
      <c r="T18" s="1"/>
      <c r="U18" s="1"/>
      <c r="V18" s="1"/>
      <c r="W18" s="1"/>
      <c r="X18" s="2"/>
      <c r="Y18" s="5"/>
      <c r="Z18" s="1"/>
      <c r="AA18" s="19" t="s">
        <v>123</v>
      </c>
      <c r="AB18" s="81"/>
      <c r="AC18" s="19" t="s">
        <v>22</v>
      </c>
      <c r="AD18" s="33"/>
      <c r="AE18" s="33"/>
      <c r="AF18" s="11"/>
      <c r="AG18" s="54"/>
      <c r="AH18" s="2"/>
      <c r="AI18" s="3"/>
      <c r="AJ18" s="1"/>
      <c r="AK18" s="1"/>
      <c r="AL18" s="1"/>
      <c r="AM18" s="23" t="s">
        <v>124</v>
      </c>
      <c r="AN18" s="27"/>
      <c r="AO18" s="111">
        <v>66000</v>
      </c>
      <c r="AP18" s="1"/>
      <c r="AQ18" s="1"/>
      <c r="AR18" s="1"/>
    </row>
    <row r="19" spans="1:44" x14ac:dyDescent="0.2">
      <c r="A19" s="94" t="s">
        <v>125</v>
      </c>
      <c r="B19" s="97">
        <v>4300</v>
      </c>
      <c r="C19" s="33"/>
      <c r="D19" s="1"/>
      <c r="E19" s="2"/>
      <c r="F19" s="40"/>
      <c r="G19" s="1"/>
      <c r="H19" s="1"/>
      <c r="I19" s="1"/>
      <c r="K19" s="1"/>
      <c r="L19" s="1"/>
      <c r="M19" s="1"/>
      <c r="N19" s="1"/>
      <c r="O19" s="124"/>
      <c r="P19" s="124"/>
      <c r="Q19" s="1"/>
      <c r="R19" s="15" t="s">
        <v>126</v>
      </c>
      <c r="S19" s="40">
        <v>8500</v>
      </c>
      <c r="T19" s="1"/>
      <c r="U19" s="1"/>
      <c r="V19" s="1"/>
      <c r="W19" s="1"/>
      <c r="X19" s="10"/>
      <c r="Y19" s="13"/>
      <c r="Z19" s="1"/>
      <c r="AA19" s="19" t="s">
        <v>127</v>
      </c>
      <c r="AB19" s="81"/>
      <c r="AC19" s="19" t="s">
        <v>22</v>
      </c>
      <c r="AD19" s="33"/>
      <c r="AE19" s="33"/>
      <c r="AF19" s="55"/>
      <c r="AG19" s="7"/>
      <c r="AH19" s="21"/>
      <c r="AI19" s="7"/>
      <c r="AJ19" s="1"/>
      <c r="AK19" s="1"/>
      <c r="AL19" s="1"/>
      <c r="AM19" s="23"/>
      <c r="AN19" s="37"/>
      <c r="AO19" s="43"/>
      <c r="AP19" s="1"/>
      <c r="AQ19" s="1"/>
      <c r="AR19" s="1"/>
    </row>
    <row r="20" spans="1:44" x14ac:dyDescent="0.2">
      <c r="A20" s="94" t="s">
        <v>128</v>
      </c>
      <c r="B20" s="97">
        <v>6900</v>
      </c>
      <c r="C20" s="69"/>
      <c r="D20" s="1"/>
      <c r="E20" s="2" t="s">
        <v>97</v>
      </c>
      <c r="F20" s="40">
        <v>16400</v>
      </c>
      <c r="G20" s="1"/>
      <c r="H20" s="1"/>
      <c r="I20" s="1"/>
      <c r="K20" s="1"/>
      <c r="L20" s="1"/>
      <c r="M20" s="1"/>
      <c r="N20" s="1"/>
      <c r="O20" s="4" t="s">
        <v>18</v>
      </c>
      <c r="P20" s="41">
        <v>7800</v>
      </c>
      <c r="Q20" s="1"/>
      <c r="R20" s="15" t="s">
        <v>129</v>
      </c>
      <c r="S20" s="110">
        <v>13500</v>
      </c>
      <c r="T20" s="1"/>
      <c r="U20" s="1"/>
      <c r="V20" s="1"/>
      <c r="W20" s="1"/>
      <c r="X20" s="11"/>
      <c r="Y20" s="12"/>
      <c r="Z20" s="1"/>
      <c r="AA20" s="19" t="s">
        <v>130</v>
      </c>
      <c r="AB20" s="81"/>
      <c r="AC20" s="19" t="s">
        <v>22</v>
      </c>
      <c r="AD20" s="1"/>
      <c r="AE20" s="1"/>
      <c r="AF20" s="120" t="s">
        <v>131</v>
      </c>
      <c r="AG20" s="121"/>
      <c r="AH20" s="118" t="s">
        <v>132</v>
      </c>
      <c r="AI20" s="119"/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2">
      <c r="A21" s="94" t="s">
        <v>133</v>
      </c>
      <c r="B21" s="97">
        <v>12500</v>
      </c>
      <c r="C21" s="69"/>
      <c r="E21" s="2"/>
      <c r="F21" s="40"/>
      <c r="G21" s="1"/>
      <c r="H21" s="6"/>
      <c r="I21" s="6"/>
      <c r="K21" s="1"/>
      <c r="L21" s="1"/>
      <c r="M21" s="1"/>
      <c r="N21" s="1"/>
      <c r="O21" s="4" t="s">
        <v>134</v>
      </c>
      <c r="P21" s="41">
        <v>7800</v>
      </c>
      <c r="Q21" s="1"/>
      <c r="R21" s="1"/>
      <c r="S21" s="1"/>
      <c r="T21" s="1"/>
      <c r="U21" s="1"/>
      <c r="V21" s="1">
        <v>0</v>
      </c>
      <c r="W21" s="1"/>
      <c r="X21" s="11"/>
      <c r="Y21" s="12"/>
      <c r="Z21" s="1"/>
      <c r="AA21" s="19" t="s">
        <v>135</v>
      </c>
      <c r="AB21" s="81"/>
      <c r="AC21" s="19" t="s">
        <v>22</v>
      </c>
      <c r="AD21" s="1"/>
      <c r="AE21" s="1"/>
      <c r="AF21" s="121"/>
      <c r="AG21" s="121"/>
      <c r="AH21" s="119"/>
      <c r="AI21" s="119"/>
      <c r="AJ21" s="1"/>
      <c r="AK21" s="1"/>
      <c r="AL21" s="1"/>
      <c r="AM21" s="1"/>
      <c r="AN21" s="1"/>
      <c r="AO21" s="1"/>
      <c r="AP21" s="1"/>
    </row>
    <row r="22" spans="1:44" ht="15.75" thickBot="1" x14ac:dyDescent="0.25">
      <c r="A22" s="95" t="s">
        <v>136</v>
      </c>
      <c r="B22" s="113">
        <v>66000</v>
      </c>
      <c r="C22" s="92"/>
      <c r="E22" s="2" t="s">
        <v>137</v>
      </c>
      <c r="F22" s="40">
        <v>14000</v>
      </c>
      <c r="G22" s="1"/>
      <c r="H22" s="6"/>
      <c r="I22" s="6"/>
      <c r="K22" s="1"/>
      <c r="L22" s="1"/>
      <c r="M22" s="1"/>
      <c r="N22" s="1"/>
      <c r="O22" s="2"/>
      <c r="P22" s="41"/>
      <c r="Q22" s="1"/>
      <c r="R22" s="1"/>
      <c r="S22" s="1"/>
      <c r="T22" s="1"/>
      <c r="U22" s="1"/>
      <c r="V22" s="31"/>
      <c r="W22" s="1"/>
      <c r="X22" s="6"/>
      <c r="Y22" s="6"/>
      <c r="Z22" s="1"/>
      <c r="AA22" s="19" t="s">
        <v>138</v>
      </c>
      <c r="AB22" s="81"/>
      <c r="AC22" s="19" t="s">
        <v>22</v>
      </c>
      <c r="AD22" s="1"/>
      <c r="AE22" s="1"/>
      <c r="AF22" s="121"/>
      <c r="AG22" s="121"/>
      <c r="AH22" s="119"/>
      <c r="AI22" s="119"/>
      <c r="AJ22" s="1"/>
      <c r="AK22" s="1"/>
      <c r="AL22" s="1"/>
      <c r="AM22" s="1"/>
      <c r="AN22" s="1"/>
      <c r="AO22" s="1"/>
      <c r="AP22" s="1"/>
    </row>
    <row r="23" spans="1:44" x14ac:dyDescent="0.2">
      <c r="A23" s="104">
        <v>46280</v>
      </c>
      <c r="B23" s="99"/>
      <c r="C23" s="33"/>
      <c r="E23" s="10" t="s">
        <v>139</v>
      </c>
      <c r="F23" s="40">
        <v>24000</v>
      </c>
      <c r="G23" s="1"/>
      <c r="H23" s="6"/>
      <c r="I23" s="6"/>
      <c r="K23" s="1"/>
      <c r="L23" s="1"/>
      <c r="M23" s="1"/>
      <c r="N23" s="1"/>
      <c r="O23" s="4" t="s">
        <v>140</v>
      </c>
      <c r="P23" s="41">
        <v>6050</v>
      </c>
      <c r="Q23" s="1"/>
      <c r="R23" s="24"/>
      <c r="S23" s="3"/>
      <c r="T23" s="1"/>
      <c r="U23" s="1"/>
      <c r="V23" s="31"/>
      <c r="W23" s="1"/>
      <c r="X23" s="6"/>
      <c r="Y23" s="6"/>
      <c r="Z23" s="1"/>
      <c r="AA23" s="19" t="s">
        <v>141</v>
      </c>
      <c r="AB23" s="81"/>
      <c r="AC23" s="19" t="s">
        <v>22</v>
      </c>
      <c r="AD23" s="1"/>
      <c r="AE23" s="1"/>
      <c r="AF23" s="8"/>
      <c r="AG23" s="9"/>
      <c r="AH23" s="1"/>
      <c r="AI23" s="1"/>
      <c r="AJ23" s="1"/>
      <c r="AK23" s="1"/>
      <c r="AL23" s="1"/>
      <c r="AM23" s="1"/>
      <c r="AN23" s="1"/>
      <c r="AO23" s="1"/>
      <c r="AP23" s="1"/>
    </row>
    <row r="24" spans="1:44" ht="15.75" customHeight="1" x14ac:dyDescent="0.2">
      <c r="A24" s="135" t="s">
        <v>142</v>
      </c>
      <c r="B24" s="136"/>
      <c r="C24" s="93"/>
      <c r="E24" s="11" t="s">
        <v>143</v>
      </c>
      <c r="F24" s="84">
        <v>8000</v>
      </c>
      <c r="G24" s="1"/>
      <c r="H24" s="6"/>
      <c r="I24" s="83"/>
      <c r="J24" s="1"/>
      <c r="K24" s="1"/>
      <c r="L24" s="1"/>
      <c r="M24" s="1"/>
      <c r="N24" s="1"/>
      <c r="O24" s="4" t="s">
        <v>88</v>
      </c>
      <c r="P24" s="41">
        <v>4050</v>
      </c>
      <c r="R24" s="24"/>
      <c r="S24" s="3"/>
      <c r="T24" s="1"/>
      <c r="U24" s="1"/>
      <c r="V24" s="31"/>
      <c r="W24" s="1"/>
      <c r="X24" s="6"/>
      <c r="Y24" s="6"/>
      <c r="Z24" s="1"/>
      <c r="AA24" s="1"/>
      <c r="AB24" s="1"/>
      <c r="AC24" s="1"/>
      <c r="AD24" s="1"/>
      <c r="AE24" s="1"/>
      <c r="AF24" s="8"/>
      <c r="AG24" s="9"/>
      <c r="AH24" s="1"/>
      <c r="AI24" s="1"/>
      <c r="AJ24" s="1"/>
      <c r="AK24" s="1"/>
      <c r="AL24" s="1"/>
      <c r="AM24" s="1"/>
      <c r="AN24" s="1"/>
      <c r="AO24" s="1"/>
      <c r="AP24" s="1"/>
    </row>
    <row r="25" spans="1:44" ht="14.25" customHeight="1" x14ac:dyDescent="0.2">
      <c r="A25" s="135" t="s">
        <v>33</v>
      </c>
      <c r="B25" s="136"/>
      <c r="C25" s="93"/>
      <c r="E25" s="11" t="s">
        <v>144</v>
      </c>
      <c r="F25" s="84">
        <v>8000</v>
      </c>
      <c r="G25" s="1"/>
      <c r="H25" s="6"/>
      <c r="I25" s="6"/>
      <c r="J25" s="1"/>
      <c r="K25" s="1"/>
      <c r="L25" s="1"/>
      <c r="M25" s="1"/>
      <c r="N25" s="1"/>
      <c r="O25" s="137"/>
      <c r="P25" s="137"/>
      <c r="R25" s="24"/>
      <c r="S25" s="3"/>
      <c r="T25" s="1"/>
      <c r="U25" s="1"/>
      <c r="V25" s="31"/>
      <c r="W25" s="1"/>
      <c r="X25" s="6"/>
      <c r="Y25" s="6"/>
      <c r="Z25" s="1"/>
      <c r="AA25" s="1"/>
      <c r="AB25" s="1"/>
      <c r="AC25" s="1"/>
      <c r="AD25" s="1"/>
      <c r="AE25" s="1"/>
      <c r="AF25" s="8"/>
      <c r="AG25" s="8"/>
      <c r="AH25" s="8"/>
      <c r="AI25" s="8"/>
      <c r="AJ25" s="8"/>
      <c r="AK25" s="8"/>
      <c r="AL25" s="1"/>
      <c r="AM25" s="1"/>
      <c r="AN25" s="1"/>
      <c r="AO25" s="1"/>
      <c r="AP25" s="1"/>
    </row>
    <row r="26" spans="1:44" ht="13.5" customHeight="1" x14ac:dyDescent="0.2">
      <c r="A26" s="98" t="s">
        <v>145</v>
      </c>
      <c r="B26" s="99"/>
      <c r="C26" s="33"/>
      <c r="D26" s="1"/>
      <c r="E26" s="11" t="s">
        <v>146</v>
      </c>
      <c r="F26" s="84">
        <v>14000</v>
      </c>
      <c r="G26" s="1"/>
      <c r="H26" s="6"/>
      <c r="I26" s="6"/>
      <c r="J26" s="1"/>
      <c r="K26" s="1"/>
      <c r="L26" s="1"/>
      <c r="M26" s="1"/>
      <c r="N26" s="1"/>
      <c r="O26" s="29"/>
      <c r="P26" s="29"/>
      <c r="Q26" s="1"/>
      <c r="R26" s="24"/>
      <c r="S26" s="3"/>
      <c r="T26" s="1"/>
      <c r="U26" s="1"/>
      <c r="V26" s="31"/>
      <c r="W26" s="1"/>
      <c r="X26" s="6"/>
      <c r="Y26" s="6"/>
      <c r="Z26" s="1"/>
      <c r="AA26" s="1"/>
      <c r="AB26" s="1"/>
      <c r="AC26" s="1"/>
      <c r="AD26" s="1"/>
      <c r="AE26" s="1"/>
      <c r="AF26" s="8"/>
      <c r="AG26" s="8"/>
      <c r="AH26" s="8"/>
      <c r="AI26" s="8"/>
      <c r="AJ26" s="8"/>
      <c r="AK26" s="8"/>
      <c r="AL26" s="1"/>
      <c r="AM26" s="1"/>
      <c r="AN26" s="1"/>
      <c r="AO26" s="1"/>
      <c r="AP26" s="1"/>
    </row>
    <row r="27" spans="1:44" ht="15" customHeight="1" x14ac:dyDescent="0.2">
      <c r="A27" s="100"/>
      <c r="B27" s="101"/>
      <c r="C27" s="85"/>
      <c r="D27" s="8"/>
      <c r="E27" s="11" t="s">
        <v>147</v>
      </c>
      <c r="F27" s="84">
        <v>15000</v>
      </c>
      <c r="G27" s="1"/>
      <c r="H27" s="6"/>
      <c r="I27" s="6"/>
      <c r="J27" s="1"/>
      <c r="K27" s="1"/>
      <c r="L27" s="1"/>
      <c r="M27" s="1"/>
      <c r="N27" s="1"/>
      <c r="O27" s="29"/>
      <c r="P27" s="29"/>
      <c r="Q27" s="1"/>
      <c r="R27" s="24"/>
      <c r="S27" s="3"/>
      <c r="T27" s="1"/>
      <c r="U27" s="1"/>
      <c r="V27" s="31"/>
      <c r="W27" s="1"/>
      <c r="X27" s="6"/>
      <c r="Y27" s="6"/>
      <c r="Z27" s="1"/>
      <c r="AA27" s="1"/>
      <c r="AB27" s="1"/>
      <c r="AC27" s="1"/>
      <c r="AD27" s="1"/>
      <c r="AE27" s="1"/>
      <c r="AF27" s="8"/>
      <c r="AG27" s="9"/>
      <c r="AH27" s="1"/>
      <c r="AI27" s="1"/>
      <c r="AJ27" s="1"/>
      <c r="AK27" s="1"/>
      <c r="AL27" s="1"/>
      <c r="AM27" s="1"/>
      <c r="AN27" s="1"/>
      <c r="AO27" s="1"/>
      <c r="AP27" s="1"/>
    </row>
    <row r="28" spans="1:44" ht="15" customHeight="1" thickBot="1" x14ac:dyDescent="0.25">
      <c r="A28" s="102" t="s">
        <v>200</v>
      </c>
      <c r="B28" s="103"/>
      <c r="C28" s="85"/>
      <c r="D28" s="8"/>
      <c r="E28" s="11" t="s">
        <v>148</v>
      </c>
      <c r="F28" s="84">
        <v>22000</v>
      </c>
      <c r="G28" s="1"/>
      <c r="H28" s="6"/>
      <c r="I28" s="83"/>
      <c r="J28" s="1"/>
      <c r="K28" s="1"/>
      <c r="L28" s="1"/>
      <c r="M28" s="1"/>
      <c r="N28" s="1"/>
      <c r="O28" s="29"/>
      <c r="P28" s="29"/>
      <c r="Q28" s="1"/>
      <c r="R28" s="1"/>
      <c r="S28" s="1"/>
      <c r="T28" s="1"/>
      <c r="U28" s="1"/>
      <c r="V28" s="31"/>
      <c r="W28" s="1"/>
      <c r="X28" s="6"/>
      <c r="Y28" s="6"/>
      <c r="Z28" s="1"/>
      <c r="AA28" s="1"/>
      <c r="AB28" s="1"/>
      <c r="AC28" s="1"/>
      <c r="AD28" s="1"/>
      <c r="AE28" s="1"/>
      <c r="AF28" s="8"/>
      <c r="AG28" s="9"/>
      <c r="AH28" s="1"/>
      <c r="AI28" s="1"/>
      <c r="AJ28" s="1"/>
      <c r="AK28" s="1"/>
      <c r="AL28" s="1"/>
      <c r="AM28" s="1"/>
      <c r="AN28" s="1"/>
      <c r="AO28" s="1"/>
      <c r="AP28" s="1"/>
    </row>
    <row r="29" spans="1:44" x14ac:dyDescent="0.2">
      <c r="A29" s="85" t="s">
        <v>194</v>
      </c>
      <c r="B29" s="85"/>
      <c r="C29" s="85"/>
      <c r="D29" s="1"/>
      <c r="E29" s="11" t="s">
        <v>149</v>
      </c>
      <c r="F29" s="84">
        <v>2000</v>
      </c>
      <c r="G29" s="1"/>
      <c r="H29" s="6"/>
      <c r="I29" s="8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31"/>
      <c r="W29" s="1"/>
      <c r="X29" s="6"/>
      <c r="Y29" s="6"/>
      <c r="Z29" s="1"/>
      <c r="AA29" s="1"/>
      <c r="AB29" s="1"/>
      <c r="AC29" s="1"/>
      <c r="AD29" s="1"/>
      <c r="AE29" s="1"/>
      <c r="AF29" s="8"/>
      <c r="AG29" s="9"/>
      <c r="AH29" s="1"/>
      <c r="AI29" s="1"/>
      <c r="AJ29" s="1"/>
      <c r="AK29" s="1"/>
      <c r="AL29" s="1"/>
      <c r="AM29" s="1"/>
      <c r="AN29" s="1"/>
      <c r="AO29" s="1"/>
      <c r="AP29" s="1"/>
    </row>
    <row r="30" spans="1:44" x14ac:dyDescent="0.2">
      <c r="A30" s="48" t="s">
        <v>196</v>
      </c>
      <c r="B30" s="33"/>
      <c r="C30" s="33"/>
      <c r="E30" s="11" t="s">
        <v>150</v>
      </c>
      <c r="F30" s="84">
        <v>11500</v>
      </c>
      <c r="G30" s="1"/>
      <c r="H30" s="7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1"/>
      <c r="W30" s="1"/>
      <c r="X30" s="1"/>
      <c r="Y30" s="1"/>
      <c r="Z30" s="1"/>
      <c r="AA30" s="1"/>
      <c r="AB30" s="1"/>
      <c r="AC30" s="1"/>
      <c r="AD30" s="1"/>
      <c r="AE30" s="1"/>
      <c r="AF30" s="8"/>
      <c r="AG30" s="9"/>
      <c r="AH30" s="1"/>
      <c r="AI30" s="1"/>
      <c r="AJ30" s="1"/>
      <c r="AK30" s="1"/>
      <c r="AL30" s="1"/>
      <c r="AM30" s="1"/>
      <c r="AN30" s="1"/>
      <c r="AO30" s="1"/>
      <c r="AP30" s="1"/>
    </row>
    <row r="31" spans="1:44" x14ac:dyDescent="0.2">
      <c r="A31" s="44"/>
      <c r="B31" s="1"/>
      <c r="C31" s="1"/>
      <c r="E31" s="11" t="s">
        <v>151</v>
      </c>
      <c r="F31" s="84">
        <v>19400</v>
      </c>
      <c r="G31" s="1"/>
      <c r="H31" s="7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32"/>
      <c r="W31" s="1"/>
      <c r="X31" s="1"/>
      <c r="Y31" s="1"/>
      <c r="Z31" s="1"/>
      <c r="AA31" s="1"/>
      <c r="AB31" s="1"/>
      <c r="AC31" s="1"/>
      <c r="AD31" s="1"/>
      <c r="AE31" s="1"/>
      <c r="AF31" s="8"/>
      <c r="AG31" s="9"/>
      <c r="AH31" s="1"/>
      <c r="AI31" s="1"/>
      <c r="AJ31" s="1"/>
      <c r="AK31" s="1"/>
      <c r="AL31" s="1"/>
      <c r="AM31" s="1"/>
      <c r="AN31" s="1"/>
      <c r="AO31" s="1"/>
      <c r="AP31" s="1"/>
    </row>
    <row r="32" spans="1:44" ht="15" customHeight="1" x14ac:dyDescent="0.2">
      <c r="A32" s="1"/>
      <c r="B32" s="1"/>
      <c r="C32" s="1"/>
      <c r="E32" s="11" t="s">
        <v>152</v>
      </c>
      <c r="F32" s="84">
        <v>16900</v>
      </c>
      <c r="G32" s="1"/>
      <c r="H32" s="7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1"/>
      <c r="W32" s="1"/>
      <c r="X32" s="1"/>
      <c r="Y32" s="1"/>
      <c r="Z32" s="1"/>
      <c r="AA32" s="1"/>
      <c r="AB32" s="1"/>
      <c r="AC32" s="1"/>
      <c r="AD32" s="1"/>
      <c r="AE32" s="1"/>
      <c r="AF32" s="8"/>
      <c r="AG32" s="9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5" customHeight="1" x14ac:dyDescent="0.2">
      <c r="A33" s="1"/>
      <c r="B33" s="1"/>
      <c r="C33" s="1"/>
      <c r="E33" s="15" t="s">
        <v>153</v>
      </c>
      <c r="F33" s="40">
        <v>16900</v>
      </c>
      <c r="G33" s="1"/>
      <c r="H33" s="70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31"/>
      <c r="W33" s="1"/>
      <c r="X33" s="1"/>
      <c r="Y33" s="1"/>
      <c r="Z33" s="1"/>
      <c r="AA33" s="1"/>
      <c r="AB33" s="1"/>
      <c r="AC33" s="1"/>
      <c r="AD33" s="1"/>
      <c r="AE33" s="1"/>
      <c r="AF33" s="8"/>
      <c r="AG33" s="9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2">
      <c r="A34" s="1"/>
      <c r="B34" s="1"/>
      <c r="C34" s="1"/>
      <c r="E34" s="2" t="s">
        <v>154</v>
      </c>
      <c r="F34" s="40">
        <v>17600</v>
      </c>
      <c r="G34" s="1"/>
      <c r="H34" s="70"/>
      <c r="I34" s="1"/>
      <c r="J34" s="1"/>
      <c r="K34" s="1"/>
      <c r="L34" s="1"/>
      <c r="M34" s="1"/>
      <c r="N34" s="1"/>
      <c r="O34" s="1"/>
      <c r="P34" s="1"/>
      <c r="Q34" s="33"/>
      <c r="R34" s="33"/>
      <c r="S34" s="33"/>
      <c r="T34" s="33"/>
      <c r="U34" s="33"/>
      <c r="V34" s="31"/>
      <c r="W34" s="1"/>
      <c r="X34" s="1"/>
      <c r="Y34" s="1"/>
      <c r="Z34" s="1"/>
      <c r="AA34" s="1"/>
      <c r="AB34" s="1"/>
      <c r="AC34" s="1"/>
      <c r="AD34" s="1"/>
      <c r="AE34" s="1"/>
      <c r="AF34" s="8"/>
      <c r="AG34" s="9"/>
      <c r="AH34" s="1"/>
      <c r="AI34" s="1"/>
      <c r="AJ34" s="1"/>
      <c r="AK34" s="1"/>
      <c r="AL34" s="1"/>
      <c r="AM34" s="1"/>
      <c r="AN34" s="1"/>
      <c r="AO34" s="1"/>
      <c r="AP34" s="1"/>
    </row>
    <row r="35" spans="1:42" x14ac:dyDescent="0.2">
      <c r="E35" s="10" t="s">
        <v>155</v>
      </c>
      <c r="F35" s="91">
        <v>22000</v>
      </c>
      <c r="G35" s="1"/>
      <c r="H35" s="70"/>
      <c r="I35" s="1"/>
      <c r="J35" s="1"/>
      <c r="K35" s="1"/>
      <c r="L35" s="1"/>
      <c r="M35" s="1"/>
      <c r="N35" s="1"/>
      <c r="O35" s="1"/>
      <c r="P35" s="1"/>
      <c r="Q35" s="33"/>
      <c r="R35" s="62"/>
      <c r="S35" s="63"/>
      <c r="T35" s="33"/>
      <c r="U35" s="33"/>
      <c r="V35" s="31"/>
      <c r="W35" s="1"/>
      <c r="X35" s="1"/>
      <c r="Y35" s="1"/>
      <c r="Z35" s="1"/>
      <c r="AA35" s="1"/>
      <c r="AB35" s="1"/>
      <c r="AC35" s="1"/>
      <c r="AD35" s="1"/>
      <c r="AE35" s="1"/>
      <c r="AF35" s="8"/>
      <c r="AG35" s="9"/>
      <c r="AH35" s="1"/>
      <c r="AI35" s="1"/>
      <c r="AJ35" s="1"/>
      <c r="AK35" s="1"/>
      <c r="AL35" s="1"/>
      <c r="AM35" s="1"/>
      <c r="AN35" s="1"/>
      <c r="AO35" s="1"/>
      <c r="AP35" s="1"/>
    </row>
    <row r="36" spans="1:42" x14ac:dyDescent="0.2">
      <c r="E36" s="11" t="s">
        <v>156</v>
      </c>
      <c r="F36" s="78">
        <v>21100</v>
      </c>
      <c r="G36" s="1"/>
      <c r="H36" s="70"/>
      <c r="I36" s="1"/>
      <c r="J36" s="1"/>
      <c r="K36" s="1"/>
      <c r="L36" s="1"/>
      <c r="M36" s="1"/>
      <c r="N36" s="1"/>
      <c r="O36" s="1"/>
      <c r="P36" s="1"/>
      <c r="Q36" s="33"/>
      <c r="R36" s="33"/>
      <c r="S36" s="33"/>
      <c r="T36" s="33"/>
      <c r="U36" s="33"/>
      <c r="V36" s="31"/>
      <c r="W36" s="1"/>
      <c r="X36" s="1"/>
      <c r="Y36" s="1"/>
      <c r="Z36" s="1"/>
      <c r="AA36" s="1"/>
      <c r="AB36" s="1"/>
      <c r="AC36" s="1"/>
      <c r="AD36" s="1"/>
      <c r="AE36" s="1"/>
      <c r="AF36" s="8"/>
      <c r="AG36" s="9"/>
      <c r="AH36" s="1"/>
      <c r="AI36" s="1"/>
      <c r="AJ36" s="1"/>
      <c r="AK36" s="1"/>
      <c r="AL36" s="1"/>
      <c r="AM36" s="1"/>
      <c r="AN36" s="1"/>
      <c r="AO36" s="1"/>
      <c r="AP36" s="1"/>
    </row>
    <row r="37" spans="1:42" ht="15" customHeight="1" x14ac:dyDescent="0.2">
      <c r="E37" s="6" t="s">
        <v>157</v>
      </c>
      <c r="F37" s="73">
        <v>15000</v>
      </c>
      <c r="G37" s="1"/>
      <c r="H37" s="70"/>
      <c r="I37" s="1"/>
      <c r="J37" s="1"/>
      <c r="K37" s="1"/>
      <c r="L37" s="1"/>
      <c r="M37" s="1"/>
      <c r="N37" s="1"/>
      <c r="O37" s="1"/>
      <c r="P37" s="1"/>
      <c r="Q37" s="33"/>
      <c r="R37" s="33"/>
      <c r="S37" s="33"/>
      <c r="T37" s="33"/>
      <c r="U37" s="33"/>
      <c r="V37" s="31"/>
      <c r="W37" s="1"/>
      <c r="X37" s="1"/>
      <c r="Y37" s="1"/>
      <c r="Z37" s="1"/>
      <c r="AA37" s="1"/>
      <c r="AB37" s="1"/>
      <c r="AC37" s="1"/>
      <c r="AD37" s="1"/>
      <c r="AE37" s="1"/>
      <c r="AF37" s="8"/>
      <c r="AG37" s="9"/>
      <c r="AH37" s="1"/>
      <c r="AI37" s="1"/>
      <c r="AJ37" s="1"/>
      <c r="AK37" s="1"/>
      <c r="AL37" s="1"/>
      <c r="AM37" s="1"/>
      <c r="AN37" s="1"/>
      <c r="AO37" s="1"/>
      <c r="AP37" s="1"/>
    </row>
    <row r="38" spans="1:42" ht="15" customHeight="1" x14ac:dyDescent="0.2">
      <c r="E38" s="6" t="s">
        <v>158</v>
      </c>
      <c r="F38" s="73">
        <v>28000</v>
      </c>
      <c r="G38" s="1"/>
      <c r="H38" s="70"/>
      <c r="I38" s="1"/>
      <c r="J38" s="1"/>
      <c r="K38" s="1"/>
      <c r="L38" s="1"/>
      <c r="M38" s="1"/>
      <c r="N38" s="1"/>
      <c r="O38" s="1"/>
      <c r="P38" s="1"/>
      <c r="Q38" s="33"/>
      <c r="R38" s="33"/>
      <c r="S38" s="33"/>
      <c r="T38" s="33"/>
      <c r="U38" s="33"/>
      <c r="V38" s="3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x14ac:dyDescent="0.2">
      <c r="E39" s="1"/>
      <c r="G39" s="1"/>
      <c r="H39" s="70"/>
      <c r="I39" s="1"/>
      <c r="J39" s="1"/>
      <c r="K39" s="1"/>
      <c r="L39" s="1"/>
      <c r="M39" s="1"/>
      <c r="N39" s="1"/>
      <c r="O39" s="1"/>
      <c r="P39" s="1"/>
      <c r="Q39" s="33"/>
      <c r="R39" s="62"/>
      <c r="S39" s="63"/>
      <c r="T39" s="33"/>
      <c r="U39" s="33"/>
      <c r="V39" s="3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 x14ac:dyDescent="0.2">
      <c r="D40" s="34"/>
      <c r="E40" s="31"/>
      <c r="F40" s="33"/>
      <c r="Q40" s="34"/>
      <c r="R40" s="34"/>
      <c r="S40" s="34"/>
      <c r="T40" s="34"/>
      <c r="U40" s="34"/>
      <c r="V40" s="31"/>
      <c r="AF40" s="1"/>
      <c r="AG40" s="1"/>
    </row>
    <row r="41" spans="1:42" x14ac:dyDescent="0.2">
      <c r="D41" s="34"/>
      <c r="E41" s="31"/>
      <c r="F41" s="33"/>
      <c r="Q41" s="34"/>
      <c r="R41" s="34"/>
      <c r="S41" s="34"/>
      <c r="T41" s="34"/>
      <c r="U41" s="34"/>
      <c r="V41" s="33"/>
      <c r="AF41" s="1"/>
      <c r="AG41" s="1"/>
    </row>
    <row r="42" spans="1:42" x14ac:dyDescent="0.2">
      <c r="D42" s="34"/>
      <c r="E42" s="31"/>
      <c r="F42" s="33"/>
      <c r="Q42" s="34"/>
      <c r="R42" s="34"/>
      <c r="S42" s="34"/>
      <c r="T42" s="34"/>
      <c r="U42" s="34"/>
      <c r="V42" s="33"/>
      <c r="AF42" s="1"/>
      <c r="AG42" s="1"/>
    </row>
    <row r="43" spans="1:42" x14ac:dyDescent="0.2">
      <c r="D43" s="34"/>
      <c r="E43" s="31"/>
      <c r="F43" s="33"/>
      <c r="Q43" s="34"/>
      <c r="R43" s="62"/>
      <c r="S43" s="63"/>
      <c r="T43" s="34"/>
      <c r="U43" s="34"/>
      <c r="V43" s="33"/>
      <c r="AF43" s="1"/>
      <c r="AG43" s="1"/>
    </row>
    <row r="44" spans="1:42" x14ac:dyDescent="0.2">
      <c r="D44" s="34"/>
      <c r="E44" s="31"/>
      <c r="F44" s="33"/>
      <c r="Q44" s="34"/>
      <c r="R44" s="33"/>
      <c r="S44" s="33"/>
      <c r="T44" s="34"/>
      <c r="U44" s="34"/>
      <c r="V44" s="33"/>
      <c r="AF44" s="1"/>
      <c r="AG44" s="1"/>
    </row>
    <row r="45" spans="1:42" x14ac:dyDescent="0.2">
      <c r="D45" s="34"/>
      <c r="E45" s="31"/>
      <c r="F45" s="33"/>
      <c r="Q45" s="34"/>
      <c r="R45" s="33"/>
      <c r="S45" s="34"/>
      <c r="T45" s="34"/>
      <c r="U45" s="34"/>
      <c r="V45" s="33"/>
      <c r="AF45" s="1"/>
      <c r="AG45" s="1"/>
    </row>
    <row r="46" spans="1:42" x14ac:dyDescent="0.2">
      <c r="D46" s="34"/>
      <c r="E46" s="31"/>
      <c r="F46" s="33"/>
      <c r="Q46" s="34"/>
      <c r="R46" s="33"/>
      <c r="S46" s="34"/>
      <c r="T46" s="34"/>
      <c r="U46" s="34"/>
      <c r="V46" s="33"/>
      <c r="AF46" s="1"/>
      <c r="AG46" s="1"/>
    </row>
    <row r="47" spans="1:42" x14ac:dyDescent="0.2">
      <c r="D47" s="34"/>
      <c r="E47" s="31"/>
      <c r="F47" s="33"/>
      <c r="Q47" s="34"/>
      <c r="R47" s="33"/>
      <c r="S47" s="34"/>
      <c r="T47" s="34"/>
      <c r="U47" s="34"/>
      <c r="V47" s="33"/>
    </row>
    <row r="48" spans="1:42" x14ac:dyDescent="0.2">
      <c r="D48" s="34"/>
      <c r="E48" s="31"/>
      <c r="F48" s="33"/>
      <c r="Q48" s="34"/>
      <c r="R48" s="33"/>
      <c r="S48" s="34"/>
      <c r="T48" s="34"/>
      <c r="U48" s="34"/>
      <c r="V48" s="34"/>
    </row>
    <row r="49" spans="4:22" x14ac:dyDescent="0.2">
      <c r="D49" s="34"/>
      <c r="E49" s="31"/>
      <c r="F49" s="33"/>
      <c r="Q49" s="34"/>
      <c r="R49" s="31"/>
      <c r="S49" s="63"/>
      <c r="T49" s="34"/>
      <c r="U49" s="34"/>
      <c r="V49" s="34"/>
    </row>
    <row r="50" spans="4:22" x14ac:dyDescent="0.2">
      <c r="D50" s="34"/>
      <c r="E50" s="31"/>
      <c r="F50" s="33"/>
      <c r="Q50" s="34"/>
      <c r="R50" s="31"/>
      <c r="S50" s="63"/>
      <c r="T50" s="34"/>
      <c r="U50" s="34"/>
      <c r="V50" s="34"/>
    </row>
    <row r="51" spans="4:22" x14ac:dyDescent="0.2">
      <c r="D51" s="34"/>
      <c r="E51" s="31"/>
      <c r="F51" s="33"/>
      <c r="Q51" s="34"/>
      <c r="R51" s="31"/>
      <c r="S51" s="63"/>
      <c r="T51" s="34"/>
      <c r="U51" s="34"/>
      <c r="V51" s="34"/>
    </row>
    <row r="52" spans="4:22" x14ac:dyDescent="0.2">
      <c r="D52" s="34"/>
      <c r="E52" s="31"/>
      <c r="F52" s="33"/>
      <c r="Q52" s="34"/>
      <c r="R52" s="31"/>
      <c r="S52" s="63"/>
      <c r="T52" s="34"/>
      <c r="U52" s="34"/>
      <c r="V52" s="34"/>
    </row>
    <row r="53" spans="4:22" x14ac:dyDescent="0.2">
      <c r="D53" s="34"/>
      <c r="E53" s="31"/>
      <c r="F53" s="33"/>
      <c r="Q53" s="34"/>
      <c r="R53" s="31"/>
      <c r="S53" s="63"/>
      <c r="T53" s="34"/>
      <c r="U53" s="34"/>
      <c r="V53" s="34"/>
    </row>
    <row r="54" spans="4:22" x14ac:dyDescent="0.2">
      <c r="D54" s="34"/>
      <c r="E54" s="31"/>
      <c r="F54" s="33"/>
      <c r="Q54" s="34"/>
      <c r="R54" s="31"/>
      <c r="S54" s="63"/>
      <c r="T54" s="34"/>
      <c r="U54" s="34"/>
      <c r="V54" s="34"/>
    </row>
    <row r="55" spans="4:22" x14ac:dyDescent="0.2">
      <c r="D55" s="34"/>
      <c r="E55" s="31"/>
      <c r="F55" s="33"/>
      <c r="Q55" s="34"/>
      <c r="R55" s="31"/>
      <c r="S55" s="63"/>
      <c r="T55" s="34"/>
      <c r="U55" s="34"/>
      <c r="V55" s="34"/>
    </row>
    <row r="56" spans="4:22" x14ac:dyDescent="0.2">
      <c r="D56" s="34"/>
      <c r="E56" s="31"/>
      <c r="F56" s="33"/>
      <c r="Q56" s="34"/>
      <c r="R56" s="31"/>
      <c r="S56" s="63"/>
      <c r="T56" s="34"/>
      <c r="U56" s="34"/>
      <c r="V56" s="34"/>
    </row>
    <row r="57" spans="4:22" x14ac:dyDescent="0.2">
      <c r="D57" s="34"/>
      <c r="E57" s="31"/>
      <c r="F57" s="33"/>
      <c r="Q57" s="34"/>
      <c r="R57" s="31"/>
      <c r="S57" s="63"/>
      <c r="T57" s="34"/>
      <c r="U57" s="34"/>
      <c r="V57" s="34"/>
    </row>
    <row r="58" spans="4:22" x14ac:dyDescent="0.2">
      <c r="D58" s="34"/>
      <c r="E58" s="31"/>
      <c r="F58" s="33"/>
      <c r="Q58" s="34"/>
      <c r="R58" s="31"/>
      <c r="S58" s="63"/>
      <c r="T58" s="34"/>
      <c r="U58" s="34"/>
      <c r="V58" s="34"/>
    </row>
    <row r="59" spans="4:22" x14ac:dyDescent="0.2">
      <c r="D59" s="34"/>
      <c r="E59" s="31"/>
      <c r="F59" s="33"/>
      <c r="Q59" s="34"/>
      <c r="R59" s="31"/>
      <c r="S59" s="63"/>
      <c r="T59" s="34"/>
      <c r="U59" s="34"/>
      <c r="V59" s="34"/>
    </row>
    <row r="60" spans="4:22" x14ac:dyDescent="0.2">
      <c r="D60" s="34"/>
      <c r="E60" s="31"/>
      <c r="F60" s="33"/>
      <c r="Q60" s="34"/>
      <c r="R60" s="31"/>
      <c r="S60" s="63"/>
      <c r="T60" s="34"/>
      <c r="U60" s="34"/>
      <c r="V60" s="34"/>
    </row>
    <row r="61" spans="4:22" x14ac:dyDescent="0.2">
      <c r="D61" s="34"/>
      <c r="E61" s="31"/>
      <c r="F61" s="33"/>
      <c r="Q61" s="34"/>
      <c r="R61" s="31"/>
      <c r="S61" s="63"/>
      <c r="T61" s="34"/>
      <c r="U61" s="34"/>
      <c r="V61" s="34"/>
    </row>
    <row r="62" spans="4:22" x14ac:dyDescent="0.2">
      <c r="D62" s="34"/>
      <c r="E62" s="31"/>
      <c r="F62" s="33"/>
      <c r="Q62" s="34"/>
      <c r="R62" s="62"/>
      <c r="S62" s="63"/>
      <c r="T62" s="34"/>
      <c r="U62" s="34"/>
      <c r="V62" s="34"/>
    </row>
    <row r="63" spans="4:22" x14ac:dyDescent="0.2">
      <c r="D63" s="34"/>
      <c r="E63" s="31"/>
      <c r="F63" s="33"/>
      <c r="R63" s="1"/>
      <c r="S63" s="1"/>
      <c r="V63" s="34"/>
    </row>
    <row r="64" spans="4:22" x14ac:dyDescent="0.2">
      <c r="D64" s="34"/>
      <c r="E64" s="31"/>
      <c r="F64" s="33"/>
      <c r="R64" s="1"/>
      <c r="S64" s="1"/>
      <c r="V64" s="34"/>
    </row>
    <row r="65" spans="4:22" x14ac:dyDescent="0.2">
      <c r="D65" s="34"/>
      <c r="E65" s="31"/>
      <c r="F65" s="33"/>
      <c r="R65" s="1"/>
      <c r="S65" s="1"/>
      <c r="V65" s="34"/>
    </row>
    <row r="66" spans="4:22" x14ac:dyDescent="0.2">
      <c r="D66" s="34"/>
      <c r="E66" s="31"/>
      <c r="F66" s="33"/>
      <c r="V66" s="34"/>
    </row>
    <row r="67" spans="4:22" x14ac:dyDescent="0.2">
      <c r="D67" s="34"/>
      <c r="E67" s="31"/>
      <c r="F67" s="33"/>
    </row>
    <row r="68" spans="4:22" x14ac:dyDescent="0.2">
      <c r="D68" s="34"/>
      <c r="E68" s="31"/>
      <c r="F68" s="33"/>
    </row>
    <row r="69" spans="4:22" x14ac:dyDescent="0.2">
      <c r="D69" s="34"/>
      <c r="E69" s="31"/>
      <c r="F69" s="33"/>
    </row>
    <row r="70" spans="4:22" x14ac:dyDescent="0.2">
      <c r="D70" s="34"/>
      <c r="E70" s="31"/>
      <c r="F70" s="33"/>
    </row>
    <row r="71" spans="4:22" x14ac:dyDescent="0.2">
      <c r="D71" s="34"/>
      <c r="E71" s="31"/>
      <c r="F71" s="33"/>
    </row>
    <row r="72" spans="4:22" x14ac:dyDescent="0.2">
      <c r="D72" s="34"/>
      <c r="E72" s="31"/>
      <c r="F72" s="33"/>
    </row>
    <row r="73" spans="4:22" x14ac:dyDescent="0.2">
      <c r="D73" s="34"/>
      <c r="E73" s="31"/>
      <c r="F73" s="33"/>
    </row>
    <row r="74" spans="4:22" x14ac:dyDescent="0.2">
      <c r="E74" s="74"/>
    </row>
    <row r="75" spans="4:22" x14ac:dyDescent="0.2">
      <c r="E75" s="6"/>
    </row>
  </sheetData>
  <autoFilter ref="R7:S8" xr:uid="{C6EE7961-38D1-4D79-8C98-73463A744536}"/>
  <mergeCells count="19">
    <mergeCell ref="E1:F1"/>
    <mergeCell ref="A24:B24"/>
    <mergeCell ref="O25:P25"/>
    <mergeCell ref="A1:B1"/>
    <mergeCell ref="H1:I2"/>
    <mergeCell ref="A25:B25"/>
    <mergeCell ref="K1:L2"/>
    <mergeCell ref="K11:L14"/>
    <mergeCell ref="AH20:AI22"/>
    <mergeCell ref="AF20:AG22"/>
    <mergeCell ref="AF2:AG3"/>
    <mergeCell ref="O18:P19"/>
    <mergeCell ref="R1:S2"/>
    <mergeCell ref="U1:V2"/>
    <mergeCell ref="X1:Y2"/>
    <mergeCell ref="AH2:AI3"/>
    <mergeCell ref="AF1:AI1"/>
    <mergeCell ref="O1:P2"/>
    <mergeCell ref="AA1:AC2"/>
  </mergeCells>
  <phoneticPr fontId="16" alignment="center"/>
  <pageMargins left="0.25" right="0.25" top="0.75" bottom="0.75" header="0.3" footer="0.3"/>
  <pageSetup paperSize="9" fitToWidth="0" fitToHeight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A44F-E86D-B845-9182-4BF901E575CE}">
  <dimension ref="A2:B41"/>
  <sheetViews>
    <sheetView zoomScaleNormal="60" zoomScaleSheetLayoutView="100" workbookViewId="0">
      <selection activeCell="H31" sqref="H31"/>
    </sheetView>
  </sheetViews>
  <sheetFormatPr defaultRowHeight="15" x14ac:dyDescent="0.2"/>
  <cols>
    <col min="1" max="1" width="26.36328125" customWidth="1"/>
    <col min="2" max="2" width="8.7421875" bestFit="1" customWidth="1"/>
  </cols>
  <sheetData>
    <row r="2" spans="1:2" ht="21" x14ac:dyDescent="0.3">
      <c r="A2" s="25" t="s">
        <v>159</v>
      </c>
      <c r="B2" s="25"/>
    </row>
    <row r="3" spans="1:2" ht="21" x14ac:dyDescent="0.3">
      <c r="A3" s="25" t="s">
        <v>160</v>
      </c>
      <c r="B3" s="25">
        <v>210</v>
      </c>
    </row>
    <row r="4" spans="1:2" ht="21" x14ac:dyDescent="0.3">
      <c r="A4" s="25" t="s">
        <v>161</v>
      </c>
      <c r="B4" s="26">
        <v>210</v>
      </c>
    </row>
    <row r="5" spans="1:2" ht="21" x14ac:dyDescent="0.3">
      <c r="A5" s="25" t="s">
        <v>162</v>
      </c>
      <c r="B5" s="25">
        <v>210</v>
      </c>
    </row>
    <row r="6" spans="1:2" ht="21" x14ac:dyDescent="0.3">
      <c r="A6" s="25" t="s">
        <v>163</v>
      </c>
      <c r="B6" s="25">
        <v>230</v>
      </c>
    </row>
    <row r="7" spans="1:2" ht="21" x14ac:dyDescent="0.3">
      <c r="A7" s="25" t="s">
        <v>164</v>
      </c>
      <c r="B7" s="25">
        <v>230</v>
      </c>
    </row>
    <row r="8" spans="1:2" ht="21" x14ac:dyDescent="0.3">
      <c r="A8" s="25" t="s">
        <v>165</v>
      </c>
      <c r="B8" s="25">
        <v>230</v>
      </c>
    </row>
    <row r="9" spans="1:2" ht="21" x14ac:dyDescent="0.3">
      <c r="A9" s="25" t="s">
        <v>166</v>
      </c>
      <c r="B9" s="25">
        <v>230</v>
      </c>
    </row>
    <row r="10" spans="1:2" ht="21" x14ac:dyDescent="0.3">
      <c r="A10" s="25" t="s">
        <v>167</v>
      </c>
      <c r="B10" s="25">
        <v>230</v>
      </c>
    </row>
    <row r="11" spans="1:2" ht="21" x14ac:dyDescent="0.3">
      <c r="A11" s="25" t="s">
        <v>168</v>
      </c>
      <c r="B11" s="25">
        <v>230</v>
      </c>
    </row>
    <row r="12" spans="1:2" ht="21" x14ac:dyDescent="0.3">
      <c r="A12" s="25"/>
      <c r="B12" s="25"/>
    </row>
    <row r="13" spans="1:2" ht="21" x14ac:dyDescent="0.3">
      <c r="A13" s="25" t="s">
        <v>169</v>
      </c>
      <c r="B13" s="25">
        <v>750</v>
      </c>
    </row>
    <row r="14" spans="1:2" ht="21" x14ac:dyDescent="0.3">
      <c r="A14" s="25" t="s">
        <v>170</v>
      </c>
      <c r="B14" s="25">
        <v>880</v>
      </c>
    </row>
    <row r="15" spans="1:2" ht="21" x14ac:dyDescent="0.3">
      <c r="A15" s="25" t="s">
        <v>171</v>
      </c>
      <c r="B15" s="25">
        <v>600</v>
      </c>
    </row>
    <row r="16" spans="1:2" ht="21" x14ac:dyDescent="0.3">
      <c r="A16" s="25" t="s">
        <v>172</v>
      </c>
      <c r="B16" s="25">
        <v>735</v>
      </c>
    </row>
    <row r="17" spans="1:2" ht="21" x14ac:dyDescent="0.3">
      <c r="A17" s="25" t="s">
        <v>173</v>
      </c>
      <c r="B17" s="25">
        <v>1650</v>
      </c>
    </row>
    <row r="18" spans="1:2" ht="21" x14ac:dyDescent="0.3">
      <c r="A18" s="25"/>
      <c r="B18" s="25"/>
    </row>
    <row r="19" spans="1:2" ht="21" x14ac:dyDescent="0.3">
      <c r="A19" s="25" t="s">
        <v>174</v>
      </c>
      <c r="B19" s="25">
        <v>780</v>
      </c>
    </row>
    <row r="20" spans="1:2" ht="21" x14ac:dyDescent="0.3">
      <c r="A20" s="25" t="s">
        <v>175</v>
      </c>
      <c r="B20" s="25">
        <v>820</v>
      </c>
    </row>
    <row r="21" spans="1:2" ht="21" x14ac:dyDescent="0.3">
      <c r="A21" s="25" t="s">
        <v>176</v>
      </c>
      <c r="B21" s="25">
        <v>700</v>
      </c>
    </row>
    <row r="22" spans="1:2" ht="21" x14ac:dyDescent="0.3">
      <c r="A22" s="25" t="s">
        <v>177</v>
      </c>
      <c r="B22" s="25">
        <v>2000</v>
      </c>
    </row>
    <row r="23" spans="1:2" ht="21" x14ac:dyDescent="0.3">
      <c r="A23" s="25"/>
      <c r="B23" s="25"/>
    </row>
    <row r="24" spans="1:2" ht="21" x14ac:dyDescent="0.3">
      <c r="A24" s="25" t="s">
        <v>178</v>
      </c>
      <c r="B24" s="25">
        <v>4500</v>
      </c>
    </row>
    <row r="25" spans="1:2" ht="21" x14ac:dyDescent="0.3">
      <c r="A25" s="25" t="s">
        <v>179</v>
      </c>
      <c r="B25" s="25">
        <v>3000</v>
      </c>
    </row>
    <row r="26" spans="1:2" ht="21" x14ac:dyDescent="0.3">
      <c r="A26" s="25"/>
      <c r="B26" s="25"/>
    </row>
    <row r="27" spans="1:2" ht="21" x14ac:dyDescent="0.3">
      <c r="A27" s="25" t="s">
        <v>180</v>
      </c>
      <c r="B27" s="25"/>
    </row>
    <row r="28" spans="1:2" ht="21" x14ac:dyDescent="0.3">
      <c r="A28" s="25" t="s">
        <v>181</v>
      </c>
      <c r="B28" s="25">
        <v>6000</v>
      </c>
    </row>
    <row r="29" spans="1:2" ht="21" x14ac:dyDescent="0.3">
      <c r="A29" s="25" t="s">
        <v>182</v>
      </c>
      <c r="B29" s="25">
        <v>6000</v>
      </c>
    </row>
    <row r="30" spans="1:2" ht="21" x14ac:dyDescent="0.3">
      <c r="A30" s="25"/>
      <c r="B30" s="25"/>
    </row>
    <row r="31" spans="1:2" ht="21" x14ac:dyDescent="0.3">
      <c r="A31" s="25" t="s">
        <v>183</v>
      </c>
      <c r="B31" s="25"/>
    </row>
    <row r="32" spans="1:2" ht="21" x14ac:dyDescent="0.3">
      <c r="A32" s="25" t="s">
        <v>184</v>
      </c>
      <c r="B32" s="25">
        <v>5000</v>
      </c>
    </row>
    <row r="33" spans="1:2" ht="21" x14ac:dyDescent="0.3">
      <c r="A33" s="25" t="s">
        <v>185</v>
      </c>
      <c r="B33" s="25">
        <v>5000</v>
      </c>
    </row>
    <row r="34" spans="1:2" ht="21" x14ac:dyDescent="0.3">
      <c r="A34" s="25" t="s">
        <v>186</v>
      </c>
      <c r="B34" s="25">
        <v>5250</v>
      </c>
    </row>
    <row r="35" spans="1:2" ht="21" x14ac:dyDescent="0.3">
      <c r="A35" s="25" t="s">
        <v>187</v>
      </c>
      <c r="B35" s="25">
        <v>5250</v>
      </c>
    </row>
    <row r="36" spans="1:2" ht="21" x14ac:dyDescent="0.3">
      <c r="A36" s="25" t="s">
        <v>188</v>
      </c>
      <c r="B36" s="25">
        <v>11000</v>
      </c>
    </row>
    <row r="37" spans="1:2" ht="21" x14ac:dyDescent="0.3">
      <c r="A37" s="25" t="s">
        <v>189</v>
      </c>
      <c r="B37" s="25">
        <v>11000</v>
      </c>
    </row>
    <row r="38" spans="1:2" ht="21" x14ac:dyDescent="0.3">
      <c r="A38" s="25" t="s">
        <v>190</v>
      </c>
      <c r="B38" s="25">
        <v>11000</v>
      </c>
    </row>
    <row r="39" spans="1:2" ht="21" x14ac:dyDescent="0.3">
      <c r="A39" s="25" t="s">
        <v>191</v>
      </c>
      <c r="B39" s="25">
        <v>11000</v>
      </c>
    </row>
    <row r="40" spans="1:2" ht="21" x14ac:dyDescent="0.3">
      <c r="A40" s="25" t="s">
        <v>192</v>
      </c>
      <c r="B40" s="25">
        <v>5000</v>
      </c>
    </row>
    <row r="41" spans="1:2" ht="21" x14ac:dyDescent="0.3">
      <c r="A41" s="25"/>
      <c r="B41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listas precios</vt:lpstr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</dc:creator>
  <cp:keywords/>
  <dc:description/>
  <cp:lastModifiedBy>Andres Cristofanetti</cp:lastModifiedBy>
  <cp:revision/>
  <dcterms:created xsi:type="dcterms:W3CDTF">2022-03-22T21:24:37Z</dcterms:created>
  <dcterms:modified xsi:type="dcterms:W3CDTF">2026-08-31T18:21:11Z</dcterms:modified>
  <cp:category/>
  <cp:contentStatus/>
</cp:coreProperties>
</file>